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oA\Desktop\ANALISTA DE DATOS\EXCEL - G. SHEETS\"/>
    </mc:Choice>
  </mc:AlternateContent>
  <xr:revisionPtr revIDLastSave="0" documentId="13_ncr:1_{E35A4A6A-51D6-40AC-8D93-E608C44AC7FD}" xr6:coauthVersionLast="47" xr6:coauthVersionMax="47" xr10:uidLastSave="{00000000-0000-0000-0000-000000000000}"/>
  <bookViews>
    <workbookView xWindow="-108" yWindow="-108" windowWidth="23256" windowHeight="12456" activeTab="1" xr2:uid="{5C8525E1-237D-43F3-B242-60A7E9DB813D}"/>
  </bookViews>
  <sheets>
    <sheet name="Categoria x Puesto" sheetId="2" r:id="rId1"/>
    <sheet name="Dashboard" sheetId="4" r:id="rId2"/>
  </sheets>
  <definedNames>
    <definedName name="DatosExternos_1" localSheetId="0" hidden="1">'Categoria x Puesto'!$A$1:$F$1096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4" l="1"/>
  <c r="N28" i="4"/>
  <c r="N27" i="4"/>
  <c r="N26" i="4"/>
  <c r="N25" i="4"/>
  <c r="N24" i="4"/>
  <c r="M9" i="4"/>
  <c r="M8" i="4"/>
  <c r="M7" i="4"/>
  <c r="M6" i="4"/>
  <c r="M5" i="4"/>
  <c r="M4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CBED87-3FC6-4DD7-80DB-CA4EB0046424}" keepAlive="1" name="Consulta - job_data_merged_1" description="Conexión a la consulta 'job_data_merged_1' en el libro." type="5" refreshedVersion="8" background="1" saveData="1">
    <dbPr connection="Provider=Microsoft.Mashup.OleDb.1;Data Source=$Workbook$;Location=job_data_merged_1;Extended Properties=&quot;&quot;" command="SELECT * FROM [job_data_merged_1]"/>
  </connection>
</connections>
</file>

<file path=xl/sharedStrings.xml><?xml version="1.0" encoding="utf-8"?>
<sst xmlns="http://schemas.openxmlformats.org/spreadsheetml/2006/main" count="5520" uniqueCount="578">
  <si>
    <t>Column1</t>
  </si>
  <si>
    <t>Category</t>
  </si>
  <si>
    <t>Workplace</t>
  </si>
  <si>
    <t>Location</t>
  </si>
  <si>
    <t>Department</t>
  </si>
  <si>
    <t>Type</t>
  </si>
  <si>
    <t>Business Analyst</t>
  </si>
  <si>
    <t>Remote</t>
  </si>
  <si>
    <t>United Kingdom</t>
  </si>
  <si>
    <t>Operations</t>
  </si>
  <si>
    <t>Full time</t>
  </si>
  <si>
    <t>Makati, Metro Manila, Philippines</t>
  </si>
  <si>
    <t>Aux HQ</t>
  </si>
  <si>
    <t>On-site</t>
  </si>
  <si>
    <t>Al-Dajeej, Al Farwaniyah Governorate, Kuwait</t>
  </si>
  <si>
    <t>PWC Technologies</t>
  </si>
  <si>
    <t>London, England, United Kingdom</t>
  </si>
  <si>
    <t>Consultants, Advisory</t>
  </si>
  <si>
    <t>Change &amp; Innovation</t>
  </si>
  <si>
    <t/>
  </si>
  <si>
    <t>Islamabad, Islamabad Capital Territory, Pakistan</t>
  </si>
  <si>
    <t>Data &amp; Strategy, Performance Analytics</t>
  </si>
  <si>
    <t>United States</t>
  </si>
  <si>
    <t>Computer/Software</t>
  </si>
  <si>
    <t>Hybrid</t>
  </si>
  <si>
    <t>Corporate Affairs</t>
  </si>
  <si>
    <t>Technology</t>
  </si>
  <si>
    <t>Cary, North Carolina, United States</t>
  </si>
  <si>
    <t>1 - Operations</t>
  </si>
  <si>
    <t>Overland Park, Kansas, United States</t>
  </si>
  <si>
    <t>Consulting</t>
  </si>
  <si>
    <t>Contract</t>
  </si>
  <si>
    <t>Brookfield, Wisconsin, United States</t>
  </si>
  <si>
    <t>Security - Delivery</t>
  </si>
  <si>
    <t>Data &amp; Strategy, Digital Analytics</t>
  </si>
  <si>
    <t>Athens, Attica, Greece</t>
  </si>
  <si>
    <t>DELIV1</t>
  </si>
  <si>
    <t>Astana, Aqmola oblısı, Kazakhstan</t>
  </si>
  <si>
    <t>TECH</t>
  </si>
  <si>
    <t>North West, England, United Kingdom</t>
  </si>
  <si>
    <t>Change+</t>
  </si>
  <si>
    <t>Berlin, Berlin, Germany</t>
  </si>
  <si>
    <t>Business &amp; Organization</t>
  </si>
  <si>
    <t>Washington, District of Columbia, United States</t>
  </si>
  <si>
    <t>Account Team</t>
  </si>
  <si>
    <t>Boston, Massachusetts, United States</t>
  </si>
  <si>
    <t>Delivery</t>
  </si>
  <si>
    <t>Orlando, Florida, United States</t>
  </si>
  <si>
    <t>Information Technology</t>
  </si>
  <si>
    <t>Labs</t>
  </si>
  <si>
    <t>Austin, Texas, United States</t>
  </si>
  <si>
    <t>Data Management</t>
  </si>
  <si>
    <t>Brisbane, Queensland, Australia</t>
  </si>
  <si>
    <t>Australia Markets, Technical Services, Intelligence Workspace</t>
  </si>
  <si>
    <t>Salt Lake City, Utah, United States</t>
  </si>
  <si>
    <t>Vancouver, British Columbia, Canada</t>
  </si>
  <si>
    <t>Business Management</t>
  </si>
  <si>
    <t>Edinburgh, Scotland, United Kingdom</t>
  </si>
  <si>
    <t>Business Services Professionals, Risk &amp; Compliance</t>
  </si>
  <si>
    <t>Swords, County Dublin, Ireland</t>
  </si>
  <si>
    <t>HR</t>
  </si>
  <si>
    <t>Credit Risk</t>
  </si>
  <si>
    <t>OPERATIONS</t>
  </si>
  <si>
    <t>Dublin, County Dublin, Ireland</t>
  </si>
  <si>
    <t>Ryanair Labs Dublin</t>
  </si>
  <si>
    <t>Hursley, England, United Kingdom</t>
  </si>
  <si>
    <t>Tech+</t>
  </si>
  <si>
    <t>Sacramento, California, United States</t>
  </si>
  <si>
    <t>ITPM</t>
  </si>
  <si>
    <t>Product Delivery</t>
  </si>
  <si>
    <t>Cambridge, England, United Kingdom</t>
  </si>
  <si>
    <t>Cherry Hill, New Jersey, United States</t>
  </si>
  <si>
    <t>Athens, Greece</t>
  </si>
  <si>
    <t>Information Systems</t>
  </si>
  <si>
    <t>Warrington, England, United Kingdom</t>
  </si>
  <si>
    <t>Data+</t>
  </si>
  <si>
    <t>France</t>
  </si>
  <si>
    <t>Marketing</t>
  </si>
  <si>
    <t>Douala, Littoral, Cameroon</t>
  </si>
  <si>
    <t>Jordan</t>
  </si>
  <si>
    <t>Lagos, Lagos, Nigeria</t>
  </si>
  <si>
    <t>Amman, Amman Governorate, Jordan</t>
  </si>
  <si>
    <t>Sales, OLX Oman Jordan</t>
  </si>
  <si>
    <t>Cebu City, Central Visayas, Philippines</t>
  </si>
  <si>
    <t>Analytics</t>
  </si>
  <si>
    <t>Finance</t>
  </si>
  <si>
    <t>Belle Isle, Florida, United States</t>
  </si>
  <si>
    <t>Belgrade, Vojvodina, Serbia</t>
  </si>
  <si>
    <t>IMPLEMENTATIONS &amp; DELIVERY</t>
  </si>
  <si>
    <t>Auckland, Auckland, New Zealand</t>
  </si>
  <si>
    <t>Insights</t>
  </si>
  <si>
    <t>Riyadh, Riyadh Province, Saudi Arabia</t>
  </si>
  <si>
    <t>Commercial</t>
  </si>
  <si>
    <t>Private Credit</t>
  </si>
  <si>
    <t>UK, United Kingdom, United Kingdom</t>
  </si>
  <si>
    <t>Melbourne, Victoria, Australia</t>
  </si>
  <si>
    <t>Platform Product</t>
  </si>
  <si>
    <t>Bengaluru, Karnataka, India</t>
  </si>
  <si>
    <t>Leeds, England, United Kingdom</t>
  </si>
  <si>
    <t>Research Analysts</t>
  </si>
  <si>
    <t>Sydney, New South Wales, Australia</t>
  </si>
  <si>
    <t>IT</t>
  </si>
  <si>
    <t>Chalcis, Central Greece, Greece</t>
  </si>
  <si>
    <t>Αθήνα</t>
  </si>
  <si>
    <t>Other</t>
  </si>
  <si>
    <t>Arlington, Virginia, United States</t>
  </si>
  <si>
    <t>Digital Services</t>
  </si>
  <si>
    <t>Jeddah, Makkah Province, Saudi Arabia</t>
  </si>
  <si>
    <t>Data and Analytics</t>
  </si>
  <si>
    <t>Manchester, England, United Kingdom</t>
  </si>
  <si>
    <t>Development and Technical</t>
  </si>
  <si>
    <t>Kuwait City, Al Asimah Governate, Kuwait</t>
  </si>
  <si>
    <t>Agility Logistics Parks</t>
  </si>
  <si>
    <t>Delhi, India</t>
  </si>
  <si>
    <t>Toronto, Ontario, Canada</t>
  </si>
  <si>
    <t>Cairo, Cairo Governorate, Egypt</t>
  </si>
  <si>
    <t>59</t>
  </si>
  <si>
    <t>DCP - Operations</t>
  </si>
  <si>
    <t>Calgary, Alberta, Canada</t>
  </si>
  <si>
    <t>New York, New York, United States</t>
  </si>
  <si>
    <t>Corporate</t>
  </si>
  <si>
    <t>San Antonio, Texas, United States</t>
  </si>
  <si>
    <t>Philippines</t>
  </si>
  <si>
    <t>Analysis</t>
  </si>
  <si>
    <t>Fort Worth, Texas, United States</t>
  </si>
  <si>
    <t>CX Operations</t>
  </si>
  <si>
    <t>Data Science</t>
  </si>
  <si>
    <t>Obajana, Kogi, Nigeria</t>
  </si>
  <si>
    <t>Risk Management</t>
  </si>
  <si>
    <t>Science &amp; Knowledge</t>
  </si>
  <si>
    <t>Customer Experience</t>
  </si>
  <si>
    <t>Anfa-Casablanca, Casablanca-Settat, Morocco</t>
  </si>
  <si>
    <t>Research</t>
  </si>
  <si>
    <t>Montreal, Quebec, Canada</t>
  </si>
  <si>
    <t>Structured Content</t>
  </si>
  <si>
    <t>Milan, Metropolitan City of Milan, Italy</t>
  </si>
  <si>
    <t>Strategy &amp; BI</t>
  </si>
  <si>
    <t>Sofia, Sofia City Province, Bulgaria</t>
  </si>
  <si>
    <t>Golden, Colorado, United States</t>
  </si>
  <si>
    <t>Asset Management</t>
  </si>
  <si>
    <t>Dubai, Dubai, United Arab Emirates</t>
  </si>
  <si>
    <t>Strategy</t>
  </si>
  <si>
    <t>Phra Khanong, Bangkok, Thailand</t>
  </si>
  <si>
    <t>DCP - Finance &amp; IT</t>
  </si>
  <si>
    <t>Concord, New Hampshire, United States</t>
  </si>
  <si>
    <t>Related Services</t>
  </si>
  <si>
    <t>Bristol, England, United Kingdom</t>
  </si>
  <si>
    <t>Associates</t>
  </si>
  <si>
    <t>Amarillo, Texas, United States</t>
  </si>
  <si>
    <t>Human Resources</t>
  </si>
  <si>
    <t>Technology/Data</t>
  </si>
  <si>
    <t>Jakarta, Jakarta, Indonesia</t>
  </si>
  <si>
    <t>Data</t>
  </si>
  <si>
    <t>Engineering</t>
  </si>
  <si>
    <t>Virginia Beach, Virginia, United States</t>
  </si>
  <si>
    <t>Corporate Strategy</t>
  </si>
  <si>
    <t>Bayut KSA, Internal Audit &amp; Compliance</t>
  </si>
  <si>
    <t>Barlborough, England, United Kingdom</t>
  </si>
  <si>
    <t>Business Support</t>
  </si>
  <si>
    <t>Part time</t>
  </si>
  <si>
    <t>Mexico City, Mexico City, Mexico</t>
  </si>
  <si>
    <t>One Research</t>
  </si>
  <si>
    <t>Singapore, Central, Singapore</t>
  </si>
  <si>
    <t>Management</t>
  </si>
  <si>
    <t>Sales</t>
  </si>
  <si>
    <t>Cloud</t>
  </si>
  <si>
    <t>India</t>
  </si>
  <si>
    <t>Witney, England, United Kingdom</t>
  </si>
  <si>
    <t>Permanent</t>
  </si>
  <si>
    <t>Gurugram, Haryana, India</t>
  </si>
  <si>
    <t>Tampa, Florida, United States</t>
  </si>
  <si>
    <t>Client Services</t>
  </si>
  <si>
    <t>Wrocław, Lower Silesian Voivodeship, Poland</t>
  </si>
  <si>
    <t>Ryanair Labs Wrocław</t>
  </si>
  <si>
    <t>Ridgefield Park, New Jersey, United States</t>
  </si>
  <si>
    <t>Cloud Business Division</t>
  </si>
  <si>
    <t>Dallas, Texas, United States</t>
  </si>
  <si>
    <t>San Francisco, California, United States</t>
  </si>
  <si>
    <t>SFW</t>
  </si>
  <si>
    <t>Spain</t>
  </si>
  <si>
    <t>ENG</t>
  </si>
  <si>
    <t>Mumbai, Maharashtra, India</t>
  </si>
  <si>
    <t>Market Unit International, MU Int India</t>
  </si>
  <si>
    <t>Customer Success</t>
  </si>
  <si>
    <t>Localization</t>
  </si>
  <si>
    <t>Brussels, Brussels, Belgium</t>
  </si>
  <si>
    <t>DELIV4</t>
  </si>
  <si>
    <t>Product and Engineering</t>
  </si>
  <si>
    <t>Chicago, Illinois, United States</t>
  </si>
  <si>
    <t>NetNation</t>
  </si>
  <si>
    <t>Kathmandu, Central Development Region, Nepal</t>
  </si>
  <si>
    <t>UNIT 4</t>
  </si>
  <si>
    <t>Germany</t>
  </si>
  <si>
    <t>Tangier, Tangier-Tétouan-Al Hoceima, Morocco</t>
  </si>
  <si>
    <t>🔵</t>
  </si>
  <si>
    <t>Game Testing</t>
  </si>
  <si>
    <t>Shibuya, Tokyo, Japan</t>
  </si>
  <si>
    <t>Technology &amp; Data</t>
  </si>
  <si>
    <t>Leawood, Kansas, United States</t>
  </si>
  <si>
    <t>epay</t>
  </si>
  <si>
    <t>Paris, Île-de-France, France</t>
  </si>
  <si>
    <t>United States (US)</t>
  </si>
  <si>
    <t>Seoul, Seoul, Korea, Republic of</t>
  </si>
  <si>
    <t>Canada</t>
  </si>
  <si>
    <t>Qoala - Indonesia, Engineering, Core Engineering</t>
  </si>
  <si>
    <t>Greece</t>
  </si>
  <si>
    <t>Product</t>
  </si>
  <si>
    <t>Fulfilment</t>
  </si>
  <si>
    <t>Pune, Maharashtra, India</t>
  </si>
  <si>
    <t>Quality Assurance &amp; Test Engineering</t>
  </si>
  <si>
    <t>Service Desk</t>
  </si>
  <si>
    <t>UNIT 3</t>
  </si>
  <si>
    <t>Mandaluyong, Metro Manila, Philippines</t>
  </si>
  <si>
    <t>IT Development</t>
  </si>
  <si>
    <t>Bangalore, Karnataka, India</t>
  </si>
  <si>
    <t>Singapore, Singapore, Singapore</t>
  </si>
  <si>
    <t>Operations MY/AU</t>
  </si>
  <si>
    <t>Palo Alto, California, United States</t>
  </si>
  <si>
    <t>Infrastructure</t>
  </si>
  <si>
    <t>Los Angeles, California, United States</t>
  </si>
  <si>
    <t>Oxford, England, United Kingdom</t>
  </si>
  <si>
    <t>Global</t>
  </si>
  <si>
    <t>G &amp; A</t>
  </si>
  <si>
    <t>Brooklyn, New York, United States</t>
  </si>
  <si>
    <t>Product &amp; Technology</t>
  </si>
  <si>
    <t>DevSecOps</t>
  </si>
  <si>
    <t>Data Analytics &amp; Research</t>
  </si>
  <si>
    <t>Brazil</t>
  </si>
  <si>
    <t>Newcastle, New South Wales, Australia</t>
  </si>
  <si>
    <t>Ghent, Flanders, Belgium</t>
  </si>
  <si>
    <t>Job offer</t>
  </si>
  <si>
    <t>Minato City, Tokyo, Japan</t>
  </si>
  <si>
    <t>Mercari</t>
  </si>
  <si>
    <t>Product &amp; Tech, Core Engineering, Site Reliability Engineering</t>
  </si>
  <si>
    <t>Managed Services</t>
  </si>
  <si>
    <t>CLIENT-BASED</t>
  </si>
  <si>
    <t>QA</t>
  </si>
  <si>
    <t>Liverpool, England, United Kingdom</t>
  </si>
  <si>
    <t>Jessica</t>
  </si>
  <si>
    <t>Berchem, Antwerp, Belgium</t>
  </si>
  <si>
    <t>Pasig, Metro Manila, Philippines</t>
  </si>
  <si>
    <t>Hyderabad, Telangana, India</t>
  </si>
  <si>
    <t>Data Engineering</t>
  </si>
  <si>
    <t>Miami, Florida, United States</t>
  </si>
  <si>
    <t>Technology Division</t>
  </si>
  <si>
    <t>UX Team</t>
  </si>
  <si>
    <t>Data &amp; Analytics</t>
  </si>
  <si>
    <t>Tel Aviv-Yafo, Tel Aviv District, Israel</t>
  </si>
  <si>
    <t>R&amp;D</t>
  </si>
  <si>
    <t>Aiea, Hawaii, United States</t>
  </si>
  <si>
    <t>Mission Support</t>
  </si>
  <si>
    <t>Ahmedabad, Gujarat, India</t>
  </si>
  <si>
    <t>Switzerland</t>
  </si>
  <si>
    <t>Media &amp; Entertainment</t>
  </si>
  <si>
    <t>UK</t>
  </si>
  <si>
    <t>Kathmandu, Bagmati Province, Nepal</t>
  </si>
  <si>
    <t>Malmö, Skåne County, Sweden</t>
  </si>
  <si>
    <t>Coimbra, Coimbra District, Portugal</t>
  </si>
  <si>
    <t>Kuala Lumpur, Federal Territory of Kuala Lumpur, Malaysia</t>
  </si>
  <si>
    <t>Alpharetta, Georgia, United States</t>
  </si>
  <si>
    <t>Bangkok, Bangkok, Thailand</t>
  </si>
  <si>
    <t>Data Engineer</t>
  </si>
  <si>
    <t>South Jakarta, South Jakarta City, Indonesia</t>
  </si>
  <si>
    <t>İstanbul, İstanbul, Turkey</t>
  </si>
  <si>
    <t>Development</t>
  </si>
  <si>
    <t>Heidelberg, Baden-Württemberg, Germany</t>
  </si>
  <si>
    <t>Houston, Texas, United States</t>
  </si>
  <si>
    <t>Reading, England, United Kingdom</t>
  </si>
  <si>
    <t>BizApps</t>
  </si>
  <si>
    <t>Lakewood, New Jersey, United States</t>
  </si>
  <si>
    <t>Engineering, Software Development</t>
  </si>
  <si>
    <t>Data Scientist</t>
  </si>
  <si>
    <t>Data Solutions</t>
  </si>
  <si>
    <t>Delhi, Delhi, India</t>
  </si>
  <si>
    <t>Boulder, Colorado, United States</t>
  </si>
  <si>
    <t>Business Operations</t>
  </si>
  <si>
    <t>QR_AU - Engineering Services</t>
  </si>
  <si>
    <t>Stamford, Connecticut, United States</t>
  </si>
  <si>
    <t>Business Operations, Analytics &amp; Data Science</t>
  </si>
  <si>
    <t>Taipei, Taipei City, Taiwan</t>
  </si>
  <si>
    <t>Tech, Analytics, Product &amp; Design</t>
  </si>
  <si>
    <t>Louisville, Colorado, United States</t>
  </si>
  <si>
    <t>Federal Territory of Kuala Lumpur, Malaysia</t>
  </si>
  <si>
    <t>1</t>
  </si>
  <si>
    <t>Tech</t>
  </si>
  <si>
    <t>Atlanta, Georgia, United States</t>
  </si>
  <si>
    <t>B2C, Sales</t>
  </si>
  <si>
    <t>Issy-les-Moulineaux, Île-de-France, France</t>
  </si>
  <si>
    <t>Cairo, Cairo, Egypt</t>
  </si>
  <si>
    <t>Software Development</t>
  </si>
  <si>
    <t>West Jakarta, West Jakarta City, Indonesia</t>
  </si>
  <si>
    <t>Temporary</t>
  </si>
  <si>
    <t>Working Students / Internships</t>
  </si>
  <si>
    <t>Cloud, Data Science &amp; Informatics Services</t>
  </si>
  <si>
    <t>Singapore</t>
  </si>
  <si>
    <t>Strategic Projects</t>
  </si>
  <si>
    <t>Technology - Machine Learning</t>
  </si>
  <si>
    <t>Jersey City, New Jersey, United States</t>
  </si>
  <si>
    <t>Platform and Products</t>
  </si>
  <si>
    <t>WWC Global - BC</t>
  </si>
  <si>
    <t>FullTime</t>
  </si>
  <si>
    <t>Lisbon, Lisbon, Portugal</t>
  </si>
  <si>
    <t>Charlotte, North Carolina, United States</t>
  </si>
  <si>
    <t>Walnut Creek, California, United States</t>
  </si>
  <si>
    <t>BI</t>
  </si>
  <si>
    <t>GEK TERNA / ICT</t>
  </si>
  <si>
    <t>Climate</t>
  </si>
  <si>
    <t>Lusaka, Lusaka Province, Zambia</t>
  </si>
  <si>
    <t>Sustainable Agrifood Systems (SAS)</t>
  </si>
  <si>
    <t>Cheltenham or Bristol or London, England, United Kingdom</t>
  </si>
  <si>
    <t>050000 Engineering</t>
  </si>
  <si>
    <t>Seville, Andalusia, Spain</t>
  </si>
  <si>
    <t>International BU</t>
  </si>
  <si>
    <t>Bambey, Diourbel Region, Senegal</t>
  </si>
  <si>
    <t>Dryland Crops Program</t>
  </si>
  <si>
    <t>Data &amp; AI</t>
  </si>
  <si>
    <t>Supply Chain, Quality &amp; Product Safety</t>
  </si>
  <si>
    <t>New Delhi, Delhi, India</t>
  </si>
  <si>
    <t>Málaga, Andalusia, Spain</t>
  </si>
  <si>
    <t>Sheffield, England, United Kingdom</t>
  </si>
  <si>
    <t>Talent Pools, Product &amp; Tech, AI</t>
  </si>
  <si>
    <t>Academic Instruction</t>
  </si>
  <si>
    <t>Copenhagen, Capital Region of Denmark, Denmark</t>
  </si>
  <si>
    <t>Product and Design</t>
  </si>
  <si>
    <t>Westfield, New Jersey, United States</t>
  </si>
  <si>
    <t>Client Fulfillment</t>
  </si>
  <si>
    <t>Open Source</t>
  </si>
  <si>
    <t>Operations SG</t>
  </si>
  <si>
    <t>Baghdad, Baghdad Governorate, Iraq</t>
  </si>
  <si>
    <t>Research and Development</t>
  </si>
  <si>
    <t>Bakersfield, California, United States</t>
  </si>
  <si>
    <t>Field Services</t>
  </si>
  <si>
    <t>Media Planning</t>
  </si>
  <si>
    <t>Engineering, Data Engineering</t>
  </si>
  <si>
    <t>Food &amp; Environment</t>
  </si>
  <si>
    <t>Indianapolis, Indiana, United States</t>
  </si>
  <si>
    <t>Product &amp; Engineering</t>
  </si>
  <si>
    <t>Freetown, Western Area, Sierra Leone</t>
  </si>
  <si>
    <t>Private Schools</t>
  </si>
  <si>
    <t>San Leandro, California, United States</t>
  </si>
  <si>
    <t>General</t>
  </si>
  <si>
    <t>General &amp; Administrative</t>
  </si>
  <si>
    <t>Canary Wharf, England, United Kingdom</t>
  </si>
  <si>
    <t>Corporate support</t>
  </si>
  <si>
    <t>Rockville, Maryland, United States</t>
  </si>
  <si>
    <t>LS&amp;S HQ</t>
  </si>
  <si>
    <t>Australia</t>
  </si>
  <si>
    <t>CX Delivery (Managed &amp; Guided Implementations)</t>
  </si>
  <si>
    <t>Vietnam</t>
  </si>
  <si>
    <t>Africa, Programs</t>
  </si>
  <si>
    <t>Uxbridge, England, United Kingdom</t>
  </si>
  <si>
    <t>Industrial Area, Al Rayyan Municipality, Qatar</t>
  </si>
  <si>
    <t>Electrical</t>
  </si>
  <si>
    <t>Arizona, United States</t>
  </si>
  <si>
    <t>San José, San José Province, Costa Rica</t>
  </si>
  <si>
    <t>HERON / ENERGY MANAGEMENT</t>
  </si>
  <si>
    <t>Port Harcourt, Rivers, Nigeria</t>
  </si>
  <si>
    <t>People, People</t>
  </si>
  <si>
    <t>Design and Development</t>
  </si>
  <si>
    <t>Fort Myers, Florida, United States</t>
  </si>
  <si>
    <t>Construction</t>
  </si>
  <si>
    <t>Manila, Metro Manila, Philippines</t>
  </si>
  <si>
    <t>Legal VA</t>
  </si>
  <si>
    <t>Coldstream, Victoria, Australia</t>
  </si>
  <si>
    <t>Winery</t>
  </si>
  <si>
    <t>California, United States</t>
  </si>
  <si>
    <t>Talent</t>
  </si>
  <si>
    <t>Dhahran, Eastern Province, Saudi Arabia</t>
  </si>
  <si>
    <t>HCM</t>
  </si>
  <si>
    <t>Central Jakarta, Central Jakarta City, Indonesia</t>
  </si>
  <si>
    <t>AYANA Jakarta</t>
  </si>
  <si>
    <t>Pekanbaru, Pekanbaru City, Indonesia</t>
  </si>
  <si>
    <t>People &amp; Culture</t>
  </si>
  <si>
    <t>Product Design</t>
  </si>
  <si>
    <t>Piraeus, Attica, Greece</t>
  </si>
  <si>
    <t>HR+T</t>
  </si>
  <si>
    <t>HQ - Shared Services, HR</t>
  </si>
  <si>
    <t>Keywords India, HR</t>
  </si>
  <si>
    <t>Seattle, Washington, United States</t>
  </si>
  <si>
    <t>Paddington, England, United Kingdom</t>
  </si>
  <si>
    <t>Growth + Marketing</t>
  </si>
  <si>
    <t>Rosslyn, Virginia, United States</t>
  </si>
  <si>
    <t>Ndola, Copperbelt Province, Zambia</t>
  </si>
  <si>
    <t>DCP - HR</t>
  </si>
  <si>
    <t>Victoria, England, United Kingdom</t>
  </si>
  <si>
    <t>Editorial</t>
  </si>
  <si>
    <t>Mesa, Arizona, United States</t>
  </si>
  <si>
    <t>Ho Chi Minh City, Vietnam</t>
  </si>
  <si>
    <t>Ilorin, Kwara, Nigeria</t>
  </si>
  <si>
    <t>People Operations &amp; Admin</t>
  </si>
  <si>
    <t>London, Ontario, Canada</t>
  </si>
  <si>
    <t>Downingtown, Chester County, United States</t>
  </si>
  <si>
    <t>CCRES Behavioral Health Services, Home &amp; Community Services (Intensive Behavioral Health Services)</t>
  </si>
  <si>
    <t>Monterey, California, United States</t>
  </si>
  <si>
    <t>Student, Presidents Office - Student Employee, 1107 - MIDD KWDCCT-Rural Vermont Responses - Student Employee</t>
  </si>
  <si>
    <t>Production</t>
  </si>
  <si>
    <t>Erie, Pennsylvania, United States</t>
  </si>
  <si>
    <t>Eriez</t>
  </si>
  <si>
    <t>Zürich, Zurich, Switzerland</t>
  </si>
  <si>
    <t>Santa Ana, California, United States</t>
  </si>
  <si>
    <t>Product and technology</t>
  </si>
  <si>
    <t>Kissimmee, Florida, United States</t>
  </si>
  <si>
    <t>Osceola</t>
  </si>
  <si>
    <t>Communications, Diversity &amp; Inclusion</t>
  </si>
  <si>
    <t>Ota, Ogun, Nigeria</t>
  </si>
  <si>
    <t>Dangote Industries Limited</t>
  </si>
  <si>
    <t>Perth, Western Australia, Australia</t>
  </si>
  <si>
    <t>Customer Support</t>
  </si>
  <si>
    <t>Suginami, Tokyo, Japan</t>
  </si>
  <si>
    <t>Portland, Oregon, United States</t>
  </si>
  <si>
    <t>Middlebury, Vermont, United States</t>
  </si>
  <si>
    <t>Student, Finance and Administration - Student Employee, Human Resources - Student Employee, 1304 - Human Resources - Student Employee</t>
  </si>
  <si>
    <t>Recruiting</t>
  </si>
  <si>
    <t>New Cairo City, Cairo Governorate, Egypt</t>
  </si>
  <si>
    <t>22</t>
  </si>
  <si>
    <t>Birmingham, England, United Kingdom</t>
  </si>
  <si>
    <t>Central Services</t>
  </si>
  <si>
    <t>Paiania, Attica, Greece</t>
  </si>
  <si>
    <t>Energy Sector, M Energy Customer Solutions</t>
  </si>
  <si>
    <t>Nationally Recruited Staff</t>
  </si>
  <si>
    <t>Hybride</t>
  </si>
  <si>
    <t>Bruxelles, Bruxelles, Belgique</t>
  </si>
  <si>
    <t>People</t>
  </si>
  <si>
    <t>Temps plein</t>
  </si>
  <si>
    <t>Operations LAX</t>
  </si>
  <si>
    <t>Operations &amp; Finance, People</t>
  </si>
  <si>
    <t>International Division</t>
  </si>
  <si>
    <t>Client Delivery, Digital Transformation</t>
  </si>
  <si>
    <t>Kallithea, Greece</t>
  </si>
  <si>
    <t>The Canadian Press</t>
  </si>
  <si>
    <t>Operations, Sales</t>
  </si>
  <si>
    <t>Taguig, Metro Manila, Philippines</t>
  </si>
  <si>
    <t>Valley Stream, New York, United States</t>
  </si>
  <si>
    <t>Mathern, Chepstow, United Kingdom</t>
  </si>
  <si>
    <t>Ref: 117</t>
  </si>
  <si>
    <t>Metro Manila, Philippines</t>
  </si>
  <si>
    <t>Tier 2 PH</t>
  </si>
  <si>
    <t>Professional Services</t>
  </si>
  <si>
    <t>HR Department</t>
  </si>
  <si>
    <t>Freelance Recruiters :D</t>
  </si>
  <si>
    <t>INTERNAL</t>
  </si>
  <si>
    <t>Autonomy Products</t>
  </si>
  <si>
    <t>Legal</t>
  </si>
  <si>
    <t>Software Developer</t>
  </si>
  <si>
    <t>Knutsford, England, United Kingdom</t>
  </si>
  <si>
    <t>Technology Tribe</t>
  </si>
  <si>
    <t>Madrid, Community of Madrid, Spain</t>
  </si>
  <si>
    <t>Portfolio Company Community</t>
  </si>
  <si>
    <t>San Pedro Sula, Cortés Department, Honduras</t>
  </si>
  <si>
    <t>Baltimore, Maryland, United States</t>
  </si>
  <si>
    <t>Bulverde, Texas, United States</t>
  </si>
  <si>
    <t>Federal Civilian</t>
  </si>
  <si>
    <t>Scottsdale, Arizona, United States</t>
  </si>
  <si>
    <t>Tehran, Tehran, Iran, Islamic Republic of</t>
  </si>
  <si>
    <t>Digital Solutions</t>
  </si>
  <si>
    <t>Sur cite</t>
  </si>
  <si>
    <t>Montréal, Québec, Canada</t>
  </si>
  <si>
    <t>Développement Logiciel</t>
  </si>
  <si>
    <t>InfoTrack US, Technology</t>
  </si>
  <si>
    <t>Cape Town, Western Cape, South Africa</t>
  </si>
  <si>
    <t>Redmond, Washington, United States</t>
  </si>
  <si>
    <t>Stockholm, Stockholm County, Sweden</t>
  </si>
  <si>
    <t>Burlingame, California, United States</t>
  </si>
  <si>
    <t>Florianópolis, State of Santa Catarina, Brazil</t>
  </si>
  <si>
    <t>DELIV2</t>
  </si>
  <si>
    <t>Operation</t>
  </si>
  <si>
    <t>Engine, Engineering, Software Engineering</t>
  </si>
  <si>
    <t>South Africa</t>
  </si>
  <si>
    <t>DevOps</t>
  </si>
  <si>
    <t>Durban, KwaZulu-Natal, South Africa</t>
  </si>
  <si>
    <t>MMR Research Worldwide</t>
  </si>
  <si>
    <t>Cardiff, Wales, United Kingdom</t>
  </si>
  <si>
    <t>Technology, Engineering, Software Engineering, Software Engineering</t>
  </si>
  <si>
    <t>68</t>
  </si>
  <si>
    <t>Eindhoven, North Brabant, Netherlands</t>
  </si>
  <si>
    <t>University Value</t>
  </si>
  <si>
    <t>Engineering, Software Engineering</t>
  </si>
  <si>
    <t>Kingwood, Texas, United States</t>
  </si>
  <si>
    <t>Kingwood</t>
  </si>
  <si>
    <t>Southampton, England, United Kingdom</t>
  </si>
  <si>
    <t>London, London, United Kingdom</t>
  </si>
  <si>
    <t>Platform</t>
  </si>
  <si>
    <t>Technologie</t>
  </si>
  <si>
    <t>Placement</t>
  </si>
  <si>
    <t>Oulu, North Ostrobothnia, Finland</t>
  </si>
  <si>
    <t>Software Engineering</t>
  </si>
  <si>
    <t>Kent, Washington, United States</t>
  </si>
  <si>
    <t>Engineering and Design</t>
  </si>
  <si>
    <t>Austinmer, New South Wales, Australia</t>
  </si>
  <si>
    <t>Trading</t>
  </si>
  <si>
    <t>Karachi, Sindh, Pakistan</t>
  </si>
  <si>
    <t>Technology - dubizzle labs</t>
  </si>
  <si>
    <t>Tel Aviv, Tel Aviv District, Israel</t>
  </si>
  <si>
    <t>Israel</t>
  </si>
  <si>
    <t>35</t>
  </si>
  <si>
    <t>Ottawa, Ontario, Canada</t>
  </si>
  <si>
    <t>Texas, United States</t>
  </si>
  <si>
    <t>Engineering Department</t>
  </si>
  <si>
    <t>Dancom Technologies Limited</t>
  </si>
  <si>
    <t>Wilayah Persekutuan, Kuala Lumpur, Malaysia</t>
  </si>
  <si>
    <t>Suginami City, Tokyo, Japan</t>
  </si>
  <si>
    <t>Game development</t>
  </si>
  <si>
    <t>Uruguay</t>
  </si>
  <si>
    <t>Porto, Porto District, Portugal</t>
  </si>
  <si>
    <t>Ryanair Labs Portugal</t>
  </si>
  <si>
    <t>Johannesburg South, Gauteng, South Africa</t>
  </si>
  <si>
    <t>Ukraine</t>
  </si>
  <si>
    <t>2023</t>
  </si>
  <si>
    <t>Chennai, Tamil Nadu, India</t>
  </si>
  <si>
    <t>Mechelen, Flanders, Belgium</t>
  </si>
  <si>
    <t>Product Development</t>
  </si>
  <si>
    <t>Issaquah, Washington, United States</t>
  </si>
  <si>
    <t>Data Management, IT Governance</t>
  </si>
  <si>
    <t>information Technology</t>
  </si>
  <si>
    <t>Guadalajara, Jalisco, Mexico</t>
  </si>
  <si>
    <t>Wollongong, New South Wales, Australia</t>
  </si>
  <si>
    <t>Freelancer.com</t>
  </si>
  <si>
    <t>Bogotá, Bogota, Colombia</t>
  </si>
  <si>
    <t>Bellville, Cape Town, South Africa</t>
  </si>
  <si>
    <t>Product &amp; Operations</t>
  </si>
  <si>
    <t>UI/UX</t>
  </si>
  <si>
    <t>Design</t>
  </si>
  <si>
    <t>Indonesia</t>
  </si>
  <si>
    <t>Recruiting Team</t>
  </si>
  <si>
    <t>Design, Design UK</t>
  </si>
  <si>
    <t>Maadi, Al Qāhirah, Egypt</t>
  </si>
  <si>
    <t>Active Pooling</t>
  </si>
  <si>
    <t>Recife, State of Pernambuco, Brazil</t>
  </si>
  <si>
    <t>Art</t>
  </si>
  <si>
    <t>Hove, Brighton and Hove, United Kingdom</t>
  </si>
  <si>
    <t>Creative Team</t>
  </si>
  <si>
    <t>Palm Beach Gardens, Florida, United States</t>
  </si>
  <si>
    <t>Barcelona, Catalonia, Spain</t>
  </si>
  <si>
    <t>Japan</t>
  </si>
  <si>
    <t>Create Talent Community</t>
  </si>
  <si>
    <t>China</t>
  </si>
  <si>
    <t>Guildford, England, United Kingdom</t>
  </si>
  <si>
    <t>Programming</t>
  </si>
  <si>
    <t>Peru</t>
  </si>
  <si>
    <t>Talent Pools, Product &amp; Tech</t>
  </si>
  <si>
    <t>North York, Ontario, Canada</t>
  </si>
  <si>
    <t>Bellville, Western Cape, South Africa</t>
  </si>
  <si>
    <t>Hong Kong</t>
  </si>
  <si>
    <t>Lyon, Auvergne-Rhône-Alpes, France</t>
  </si>
  <si>
    <t>Portugal</t>
  </si>
  <si>
    <t>Research Division</t>
  </si>
  <si>
    <t>Denver, Colorado, United States</t>
  </si>
  <si>
    <t>Product Engineering and Development</t>
  </si>
  <si>
    <t>New Haven, Connecticut, United States</t>
  </si>
  <si>
    <t>Warsaw, Masovian Voivodeship, Poland</t>
  </si>
  <si>
    <t>Poland, Engineering, PL</t>
  </si>
  <si>
    <t>Uttoxeter, England, United Kingdom</t>
  </si>
  <si>
    <t>Visual Experience Design</t>
  </si>
  <si>
    <t>Business Growth, Marketing &amp; Product</t>
  </si>
  <si>
    <t>Wellington, Wellington, New Zealand</t>
  </si>
  <si>
    <t>Taipei, Xinyi District, Taiwan</t>
  </si>
  <si>
    <t>Creative</t>
  </si>
  <si>
    <t>England, United Kingdom</t>
  </si>
  <si>
    <t>Content</t>
  </si>
  <si>
    <t>Amsterdam, North Holland, Netherlands</t>
  </si>
  <si>
    <t>Marketing, Communications and Events</t>
  </si>
  <si>
    <t>Salary</t>
  </si>
  <si>
    <t>Suma de Salarios</t>
  </si>
  <si>
    <t>Modalidad de Trabajo</t>
  </si>
  <si>
    <t>Salarios</t>
  </si>
  <si>
    <t>Tipo</t>
  </si>
  <si>
    <t>Cantidad</t>
  </si>
  <si>
    <t>Otros</t>
  </si>
  <si>
    <t>Tiempo completo</t>
  </si>
  <si>
    <t>Medio Tiempo</t>
  </si>
  <si>
    <t>Temporal</t>
  </si>
  <si>
    <t>Contratos</t>
  </si>
  <si>
    <t>Cantidad de Trabajos</t>
  </si>
  <si>
    <t>Remoto</t>
  </si>
  <si>
    <t>Presencial</t>
  </si>
  <si>
    <t>Híbrido</t>
  </si>
  <si>
    <t>Puestos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</si>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</sst>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164" fontId="0" fillId="0" borderId="0" xfId="1" applyNumberFormat="1" applyFont="1"/>
    <xf numFmtId="165" fontId="0" fillId="0" borderId="0" xfId="1" applyNumberFormat="1" applyFont="1"/>
    <xf numFmtId="0" fontId="0" fillId="0" borderId="1" xfId="0" pivotButton="1" applyBorder="1"/>
    <xf numFmtId="0" fontId="0" fillId="0" borderId="1" xfId="0" applyBorder="1"/>
    <xf numFmtId="165" fontId="0" fillId="0" borderId="1" xfId="0" applyNumberFormat="1" applyBorder="1"/>
    <xf numFmtId="0" fontId="3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18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[Jobs-practica.xlsx]Dashboard!TablaDinámica17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Suma de Salario x</a:t>
            </a:r>
            <a:r>
              <a:rPr lang="es-US" baseline="0"/>
              <a:t> </a:t>
            </a:r>
            <a:r>
              <a:rPr lang="es-US"/>
              <a:t>Puesto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Dashboard!$A$4:$A$9</c:f>
              <c:strCache>
                <c:ptCount val="6"/>
                <c:pt idx="0">
                  <c:v>UI/UX</c:v>
                </c:pt>
                <c:pt idx="1">
                  <c:v>Data Scientist</c:v>
                </c:pt>
                <c:pt idx="2">
                  <c:v>Software Developer</c:v>
                </c:pt>
                <c:pt idx="3">
                  <c:v>HR</c:v>
                </c:pt>
                <c:pt idx="4">
                  <c:v>Business Analyst</c:v>
                </c:pt>
                <c:pt idx="5">
                  <c:v>Cloud</c:v>
                </c:pt>
              </c:strCache>
            </c:strRef>
          </c:cat>
          <c:val>
            <c:numRef>
              <c:f>Dashboard!$B$4:$B$9</c:f>
              <c:numCache>
                <c:formatCode>"$"#,##0</c:formatCode>
                <c:ptCount val="6"/>
                <c:pt idx="0">
                  <c:v>1817457</c:v>
                </c:pt>
                <c:pt idx="1">
                  <c:v>1754188</c:v>
                </c:pt>
                <c:pt idx="2">
                  <c:v>1708647</c:v>
                </c:pt>
                <c:pt idx="3">
                  <c:v>1668752</c:v>
                </c:pt>
                <c:pt idx="4">
                  <c:v>1616854</c:v>
                </c:pt>
                <c:pt idx="5">
                  <c:v>1570771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B-4538-896F-F1A68D575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4483055"/>
        <c:axId val="1594476335"/>
      </c:barChart>
      <c:catAx>
        <c:axId val="159448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94476335"/>
        <c:crosses val="autoZero"/>
        <c:auto val="1"/>
        <c:lblAlgn val="ctr"/>
        <c:lblOffset val="100"/>
        <c:noMultiLvlLbl val="0"/>
      </c:catAx>
      <c:valAx>
        <c:axId val="15944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9448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US"/>
              <a:t>Modalidad de Trabajo x Puesto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Dashboard!$B$27:$B$28</c:f>
              <c:strCache>
                <c:ptCount val="2"/>
                <c:pt idx="0">
                  <c:v>Modalidad de Trabajo</c:v>
                </c:pt>
                <c:pt idx="1">
                  <c:v>Remoto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Dashboard!$A$29:$A$34</c:f>
              <c:strCache>
                <c:ptCount val="6"/>
                <c:pt idx="0">
                  <c:v>Business Analyst</c:v>
                </c:pt>
                <c:pt idx="1">
                  <c:v>Cloud</c:v>
                </c:pt>
                <c:pt idx="2">
                  <c:v>Data Scientist</c:v>
                </c:pt>
                <c:pt idx="3">
                  <c:v>HR</c:v>
                </c:pt>
                <c:pt idx="4">
                  <c:v>Software Developer</c:v>
                </c:pt>
                <c:pt idx="5">
                  <c:v>UI/UX</c:v>
                </c:pt>
              </c:strCache>
            </c:strRef>
          </c:cat>
          <c:val>
            <c:numRef>
              <c:f>Dashboard!$B$29:$B$34</c:f>
              <c:numCache>
                <c:formatCode>General</c:formatCode>
                <c:ptCount val="6"/>
                <c:pt idx="0">
                  <c:v>44</c:v>
                </c:pt>
                <c:pt idx="1">
                  <c:v>65</c:v>
                </c:pt>
                <c:pt idx="2">
                  <c:v>71</c:v>
                </c:pt>
                <c:pt idx="3">
                  <c:v>56</c:v>
                </c:pt>
                <c:pt idx="4">
                  <c:v>70</c:v>
                </c:pt>
                <c:pt idx="5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4-40EA-96DB-A1E0819A5D3C}"/>
            </c:ext>
          </c:extLst>
        </c:ser>
        <c:ser>
          <c:idx val="1"/>
          <c:order val="1"/>
          <c:tx>
            <c:strRef>
              <c:f>Dashboard!$C$27:$C$28</c:f>
              <c:strCache>
                <c:ptCount val="2"/>
                <c:pt idx="0">
                  <c:v>Modalidad de Trabajo</c:v>
                </c:pt>
                <c:pt idx="1">
                  <c:v>Presencial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Dashboard!$A$29:$A$34</c:f>
              <c:strCache>
                <c:ptCount val="6"/>
                <c:pt idx="0">
                  <c:v>Business Analyst</c:v>
                </c:pt>
                <c:pt idx="1">
                  <c:v>Cloud</c:v>
                </c:pt>
                <c:pt idx="2">
                  <c:v>Data Scientist</c:v>
                </c:pt>
                <c:pt idx="3">
                  <c:v>HR</c:v>
                </c:pt>
                <c:pt idx="4">
                  <c:v>Software Developer</c:v>
                </c:pt>
                <c:pt idx="5">
                  <c:v>UI/UX</c:v>
                </c:pt>
              </c:strCache>
            </c:strRef>
          </c:cat>
          <c:val>
            <c:numRef>
              <c:f>Dashboard!$C$29:$C$34</c:f>
              <c:numCache>
                <c:formatCode>General</c:formatCode>
                <c:ptCount val="6"/>
                <c:pt idx="0">
                  <c:v>90</c:v>
                </c:pt>
                <c:pt idx="1">
                  <c:v>62</c:v>
                </c:pt>
                <c:pt idx="2">
                  <c:v>83</c:v>
                </c:pt>
                <c:pt idx="3">
                  <c:v>96</c:v>
                </c:pt>
                <c:pt idx="4">
                  <c:v>80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4-40EA-96DB-A1E0819A5D3C}"/>
            </c:ext>
          </c:extLst>
        </c:ser>
        <c:ser>
          <c:idx val="2"/>
          <c:order val="2"/>
          <c:tx>
            <c:strRef>
              <c:f>Dashboard!$D$27:$D$28</c:f>
              <c:strCache>
                <c:ptCount val="2"/>
                <c:pt idx="0">
                  <c:v>Modalidad de Trabajo</c:v>
                </c:pt>
                <c:pt idx="1">
                  <c:v>Híbrido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Dashboard!$A$29:$A$34</c:f>
              <c:strCache>
                <c:ptCount val="6"/>
                <c:pt idx="0">
                  <c:v>Business Analyst</c:v>
                </c:pt>
                <c:pt idx="1">
                  <c:v>Cloud</c:v>
                </c:pt>
                <c:pt idx="2">
                  <c:v>Data Scientist</c:v>
                </c:pt>
                <c:pt idx="3">
                  <c:v>HR</c:v>
                </c:pt>
                <c:pt idx="4">
                  <c:v>Software Developer</c:v>
                </c:pt>
                <c:pt idx="5">
                  <c:v>UI/UX</c:v>
                </c:pt>
              </c:strCache>
            </c:strRef>
          </c:cat>
          <c:val>
            <c:numRef>
              <c:f>Dashboard!$D$29:$D$34</c:f>
              <c:numCache>
                <c:formatCode>General</c:formatCode>
                <c:ptCount val="6"/>
                <c:pt idx="0">
                  <c:v>38</c:v>
                </c:pt>
                <c:pt idx="1">
                  <c:v>33</c:v>
                </c:pt>
                <c:pt idx="2">
                  <c:v>24</c:v>
                </c:pt>
                <c:pt idx="3">
                  <c:v>20</c:v>
                </c:pt>
                <c:pt idx="4">
                  <c:v>21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44-40EA-96DB-A1E0819A5D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4778528"/>
        <c:axId val="1163408656"/>
      </c:barChart>
      <c:catAx>
        <c:axId val="7347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163408656"/>
        <c:crosses val="autoZero"/>
        <c:auto val="1"/>
        <c:lblAlgn val="ctr"/>
        <c:lblOffset val="100"/>
        <c:noMultiLvlLbl val="0"/>
      </c:catAx>
      <c:valAx>
        <c:axId val="116340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7347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Contrato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Dashboard!$M$3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07-4C4D-8D82-CE4C04887C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07-4C4D-8D82-CE4C04887C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07-4C4D-8D82-CE4C04887C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07-4C4D-8D82-CE4C04887C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707-4C4D-8D82-CE4C04887C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707-4C4D-8D82-CE4C04887C7A}"/>
              </c:ext>
            </c:extLst>
          </c:dPt>
          <c:dLbls>
            <c:delete val="1"/>
          </c:dLbls>
          <c:cat>
            <c:strRef>
              <c:f>Dashboard!$L$4:$L$9</c:f>
              <c:strCache>
                <c:ptCount val="6"/>
                <c:pt idx="0">
                  <c:v>Tiempo completo</c:v>
                </c:pt>
                <c:pt idx="1">
                  <c:v>Contract</c:v>
                </c:pt>
                <c:pt idx="2">
                  <c:v>Medio Tiempo</c:v>
                </c:pt>
                <c:pt idx="3">
                  <c:v>Temporal</c:v>
                </c:pt>
                <c:pt idx="4">
                  <c:v>Temps plein</c:v>
                </c:pt>
                <c:pt idx="5">
                  <c:v>Otros</c:v>
                </c:pt>
              </c:strCache>
            </c:strRef>
          </c:cat>
          <c:val>
            <c:numRef>
              <c:f>Dashboard!$M$4:$M$9</c:f>
              <c:numCache>
                <c:formatCode>General</c:formatCode>
                <c:ptCount val="6"/>
                <c:pt idx="0">
                  <c:v>846</c:v>
                </c:pt>
                <c:pt idx="1">
                  <c:v>39</c:v>
                </c:pt>
                <c:pt idx="2">
                  <c:v>10</c:v>
                </c:pt>
                <c:pt idx="3">
                  <c:v>13</c:v>
                </c:pt>
                <c:pt idx="4">
                  <c:v>4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07-4C4D-8D82-CE4C04887C7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 b="1"/>
              <a:t>Cantidad de Puestos - Ofertas Laborales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Dashboard!$N$22:$N$23</c:f>
              <c:strCache>
                <c:ptCount val="2"/>
                <c:pt idx="0">
                  <c:v>Cantidad de Trabajos</c:v>
                </c:pt>
                <c:pt idx="1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Dashboard!$M$24:$M$29</c:f>
              <c:strCache>
                <c:ptCount val="6"/>
                <c:pt idx="0">
                  <c:v>UI/UX</c:v>
                </c:pt>
                <c:pt idx="1">
                  <c:v>Data Scientist</c:v>
                </c:pt>
                <c:pt idx="2">
                  <c:v>Software Developer</c:v>
                </c:pt>
                <c:pt idx="3">
                  <c:v>HR</c:v>
                </c:pt>
                <c:pt idx="4">
                  <c:v>Business Analyst</c:v>
                </c:pt>
                <c:pt idx="5">
                  <c:v>Cloud</c:v>
                </c:pt>
              </c:strCache>
            </c:strRef>
          </c:cat>
          <c:val>
            <c:numRef>
              <c:f>Dashboard!$N$24:$N$29</c:f>
              <c:numCache>
                <c:formatCode>General</c:formatCode>
                <c:ptCount val="6"/>
                <c:pt idx="0">
                  <c:v>191</c:v>
                </c:pt>
                <c:pt idx="1">
                  <c:v>190</c:v>
                </c:pt>
                <c:pt idx="2">
                  <c:v>189</c:v>
                </c:pt>
                <c:pt idx="3">
                  <c:v>180</c:v>
                </c:pt>
                <c:pt idx="4">
                  <c:v>175</c:v>
                </c:pt>
                <c:pt idx="5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A-4923-87F8-840C53821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shape val="box"/>
        <c:axId val="1334989632"/>
        <c:axId val="1115924912"/>
        <c:axId val="0"/>
      </c:bar3DChart>
      <c:catAx>
        <c:axId val="133498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115924912"/>
        <c:crosses val="autoZero"/>
        <c:auto val="1"/>
        <c:lblAlgn val="ctr"/>
        <c:lblOffset val="100"/>
        <c:noMultiLvlLbl val="0"/>
      </c:catAx>
      <c:valAx>
        <c:axId val="111592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33498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1</xdr:row>
      <xdr:rowOff>38100</xdr:rowOff>
    </xdr:from>
    <xdr:to>
      <xdr:col>8</xdr:col>
      <xdr:colOff>441960</xdr:colOff>
      <xdr:row>20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604E31-C0EF-050C-239A-3166480B3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373380</xdr:colOff>
      <xdr:row>25</xdr:row>
      <xdr:rowOff>137160</xdr:rowOff>
    </xdr:from>
    <xdr:to>
      <xdr:col>10</xdr:col>
      <xdr:colOff>617220</xdr:colOff>
      <xdr:row>40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E7900E-AB3E-4CD0-A3FB-110E6F677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228600</xdr:colOff>
      <xdr:row>0</xdr:row>
      <xdr:rowOff>160020</xdr:rowOff>
    </xdr:from>
    <xdr:to>
      <xdr:col>19</xdr:col>
      <xdr:colOff>388620</xdr:colOff>
      <xdr:row>15</xdr:row>
      <xdr:rowOff>160020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518871E-4CB8-4541-98EC-8D09B61F2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335280</xdr:colOff>
      <xdr:row>21</xdr:row>
      <xdr:rowOff>0</xdr:rowOff>
    </xdr:from>
    <xdr:to>
      <xdr:col>20</xdr:col>
      <xdr:colOff>152400</xdr:colOff>
      <xdr:row>36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D6ACE66-756A-4A12-8058-F88F8DBC0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o A.M." refreshedDate="46096.477097685187" createdVersion="8" refreshedVersion="8" minRefreshableVersion="3" recordCount="1095" xr:uid="{E8A1C09C-80EB-42A3-8910-A63443B20765}">
  <cacheSource type="worksheet">
    <worksheetSource name="job_data_merged_1"/>
  </cacheSource>
  <cacheFields count="7">
    <cacheField name="Column1" numFmtId="0">
      <sharedItems containsSemiMixedTypes="0" containsString="0" containsNumber="1" containsInteger="1" minValue="0" maxValue="1094"/>
    </cacheField>
    <cacheField name="Category" numFmtId="0">
      <sharedItems count="6">
        <s v="Business Analyst"/>
        <s v="Cloud"/>
        <s v="Data Scientist"/>
        <s v="HR"/>
        <s v="Software Developer"/>
        <s v="UI/UX"/>
      </sharedItems>
    </cacheField>
    <cacheField name="Workplace" numFmtId="0">
      <sharedItems count="6">
        <s v="Remote"/>
        <s v="On-site"/>
        <s v="Hybrid"/>
        <s v=""/>
        <s v="Hybride"/>
        <s v="Sur cite"/>
      </sharedItems>
    </cacheField>
    <cacheField name="Location" numFmtId="0">
      <sharedItems/>
    </cacheField>
    <cacheField name="Department" numFmtId="0">
      <sharedItems/>
    </cacheField>
    <cacheField name="Type" numFmtId="0">
      <sharedItems/>
    </cacheField>
    <cacheField name="Salary" numFmtId="0">
      <sharedItems containsSemiMixedTypes="0" containsString="0" containsNumber="1" containsInteger="1" minValue="6513" maxValue="11998" count="992">
        <n v="8211"/>
        <n v="10426"/>
        <n v="11004"/>
        <n v="8821"/>
        <n v="6743"/>
        <n v="7068"/>
        <n v="6600"/>
        <n v="7931"/>
        <n v="7743"/>
        <n v="7906"/>
        <n v="6905"/>
        <n v="8291"/>
        <n v="7063"/>
        <n v="6773"/>
        <n v="8996"/>
        <n v="11500"/>
        <n v="8579"/>
        <n v="10687"/>
        <n v="7549"/>
        <n v="7495"/>
        <n v="7445"/>
        <n v="8866"/>
        <n v="7416"/>
        <n v="9130"/>
        <n v="6641"/>
        <n v="10310"/>
        <n v="9854"/>
        <n v="11992"/>
        <n v="9034"/>
        <n v="11332"/>
        <n v="7996"/>
        <n v="9585"/>
        <n v="11792"/>
        <n v="10753"/>
        <n v="11059"/>
        <n v="7660"/>
        <n v="7705"/>
        <n v="7822"/>
        <n v="8448"/>
        <n v="10489"/>
        <n v="11099"/>
        <n v="8711"/>
        <n v="10246"/>
        <n v="10761"/>
        <n v="11621"/>
        <n v="8375"/>
        <n v="11486"/>
        <n v="11053"/>
        <n v="11543"/>
        <n v="8632"/>
        <n v="10814"/>
        <n v="6663"/>
        <n v="9551"/>
        <n v="11357"/>
        <n v="10766"/>
        <n v="11451"/>
        <n v="11188"/>
        <n v="7807"/>
        <n v="6892"/>
        <n v="8179"/>
        <n v="10027"/>
        <n v="7954"/>
        <n v="10395"/>
        <n v="10989"/>
        <n v="7520"/>
        <n v="10447"/>
        <n v="8058"/>
        <n v="8552"/>
        <n v="10247"/>
        <n v="8348"/>
        <n v="8164"/>
        <n v="6953"/>
        <n v="7033"/>
        <n v="9703"/>
        <n v="9866"/>
        <n v="11446"/>
        <n v="7568"/>
        <n v="7187"/>
        <n v="8826"/>
        <n v="10812"/>
        <n v="8029"/>
        <n v="11871"/>
        <n v="10171"/>
        <n v="8282"/>
        <n v="10561"/>
        <n v="7306"/>
        <n v="9387"/>
        <n v="11652"/>
        <n v="9832"/>
        <n v="7011"/>
        <n v="6736"/>
        <n v="8828"/>
        <n v="8412"/>
        <n v="11267"/>
        <n v="7567"/>
        <n v="7162"/>
        <n v="10394"/>
        <n v="9638"/>
        <n v="9770"/>
        <n v="9841"/>
        <n v="6731"/>
        <n v="7164"/>
        <n v="11369"/>
        <n v="10205"/>
        <n v="11515"/>
        <n v="9270"/>
        <n v="8991"/>
        <n v="8462"/>
        <n v="7679"/>
        <n v="8936"/>
        <n v="11321"/>
        <n v="10271"/>
        <n v="7353"/>
        <n v="10947"/>
        <n v="6843"/>
        <n v="10725"/>
        <n v="10977"/>
        <n v="7053"/>
        <n v="10743"/>
        <n v="9964"/>
        <n v="7046"/>
        <n v="8372"/>
        <n v="8752"/>
        <n v="7061"/>
        <n v="9324"/>
        <n v="9266"/>
        <n v="7627"/>
        <n v="10431"/>
        <n v="7349"/>
        <n v="9875"/>
        <n v="6940"/>
        <n v="11781"/>
        <n v="7496"/>
        <n v="7072"/>
        <n v="10742"/>
        <n v="10677"/>
        <n v="10810"/>
        <n v="11312"/>
        <n v="11865"/>
        <n v="6725"/>
        <n v="6839"/>
        <n v="9547"/>
        <n v="11924"/>
        <n v="10999"/>
        <n v="7150"/>
        <n v="8196"/>
        <n v="7891"/>
        <n v="6595"/>
        <n v="7649"/>
        <n v="9517"/>
        <n v="11226"/>
        <n v="8464"/>
        <n v="11888"/>
        <n v="8003"/>
        <n v="8970"/>
        <n v="8083"/>
        <n v="9107"/>
        <n v="7917"/>
        <n v="11473"/>
        <n v="10891"/>
        <n v="6997"/>
        <n v="10321"/>
        <n v="9861"/>
        <n v="11522"/>
        <n v="9062"/>
        <n v="11980"/>
        <n v="9581"/>
        <n v="10740"/>
        <n v="11591"/>
        <n v="9494"/>
        <n v="7725"/>
        <n v="11360"/>
        <n v="7528"/>
        <n v="7461"/>
        <n v="11611"/>
        <n v="8036"/>
        <n v="9974"/>
        <n v="9156"/>
        <n v="9388"/>
        <n v="11153"/>
        <n v="9381"/>
        <n v="11998"/>
        <n v="9986"/>
        <n v="7653"/>
        <n v="7940"/>
        <n v="11065"/>
        <n v="6580"/>
        <n v="11225"/>
        <n v="8187"/>
        <n v="10167"/>
        <n v="7662"/>
        <n v="8258"/>
        <n v="8926"/>
        <n v="11307"/>
        <n v="7101"/>
        <n v="10787"/>
        <n v="9195"/>
        <n v="7581"/>
        <n v="10326"/>
        <n v="6883"/>
        <n v="9534"/>
        <n v="7531"/>
        <n v="11002"/>
        <n v="7657"/>
        <n v="7428"/>
        <n v="10181"/>
        <n v="8339"/>
        <n v="9654"/>
        <n v="7460"/>
        <n v="9637"/>
        <n v="8283"/>
        <n v="7700"/>
        <n v="10107"/>
        <n v="8952"/>
        <n v="9005"/>
        <n v="10307"/>
        <n v="9378"/>
        <n v="11813"/>
        <n v="7280"/>
        <n v="6919"/>
        <n v="8703"/>
        <n v="10083"/>
        <n v="9139"/>
        <n v="11540"/>
        <n v="8485"/>
        <n v="7488"/>
        <n v="8114"/>
        <n v="10311"/>
        <n v="6924"/>
        <n v="7767"/>
        <n v="11997"/>
        <n v="8001"/>
        <n v="8550"/>
        <n v="10166"/>
        <n v="10904"/>
        <n v="7382"/>
        <n v="7867"/>
        <n v="9658"/>
        <n v="10469"/>
        <n v="6555"/>
        <n v="8672"/>
        <n v="10704"/>
        <n v="10480"/>
        <n v="9521"/>
        <n v="8382"/>
        <n v="11768"/>
        <n v="10157"/>
        <n v="7351"/>
        <n v="11850"/>
        <n v="10357"/>
        <n v="11434"/>
        <n v="9425"/>
        <n v="8714"/>
        <n v="7163"/>
        <n v="6866"/>
        <n v="8748"/>
        <n v="10223"/>
        <n v="11574"/>
        <n v="7888"/>
        <n v="7242"/>
        <n v="11799"/>
        <n v="8469"/>
        <n v="9174"/>
        <n v="9662"/>
        <n v="10902"/>
        <n v="8578"/>
        <n v="8204"/>
        <n v="10889"/>
        <n v="9029"/>
        <n v="10069"/>
        <n v="9283"/>
        <n v="7050"/>
        <n v="8679"/>
        <n v="7421"/>
        <n v="10933"/>
        <n v="10628"/>
        <n v="11085"/>
        <n v="11885"/>
        <n v="7098"/>
        <n v="7205"/>
        <n v="7607"/>
        <n v="10966"/>
        <n v="9121"/>
        <n v="11174"/>
        <n v="11533"/>
        <n v="11883"/>
        <n v="11702"/>
        <n v="11784"/>
        <n v="7811"/>
        <n v="6959"/>
        <n v="7028"/>
        <n v="7485"/>
        <n v="11229"/>
        <n v="10258"/>
        <n v="10325"/>
        <n v="9418"/>
        <n v="11266"/>
        <n v="11242"/>
        <n v="11705"/>
        <n v="11868"/>
        <n v="8237"/>
        <n v="10476"/>
        <n v="9661"/>
        <n v="9273"/>
        <n v="10822"/>
        <n v="11608"/>
        <n v="6724"/>
        <n v="7493"/>
        <n v="7720"/>
        <n v="9669"/>
        <n v="6746"/>
        <n v="6732"/>
        <n v="7235"/>
        <n v="11723"/>
        <n v="11494"/>
        <n v="7938"/>
        <n v="7935"/>
        <n v="11766"/>
        <n v="8559"/>
        <n v="11920"/>
        <n v="6814"/>
        <n v="10224"/>
        <n v="7688"/>
        <n v="8513"/>
        <n v="11780"/>
        <n v="9569"/>
        <n v="6617"/>
        <n v="10236"/>
        <n v="7230"/>
        <n v="11848"/>
        <n v="7709"/>
        <n v="7457"/>
        <n v="10378"/>
        <n v="10627"/>
        <n v="8683"/>
        <n v="7668"/>
        <n v="11340"/>
        <n v="7220"/>
        <n v="6513"/>
        <n v="11052"/>
        <n v="10736"/>
        <n v="8067"/>
        <n v="9129"/>
        <n v="6628"/>
        <n v="8789"/>
        <n v="10783"/>
        <n v="7366"/>
        <n v="7462"/>
        <n v="11748"/>
        <n v="6658"/>
        <n v="9058"/>
        <n v="10063"/>
        <n v="7117"/>
        <n v="10927"/>
        <n v="8517"/>
        <n v="9634"/>
        <n v="11149"/>
        <n v="6926"/>
        <n v="9825"/>
        <n v="8617"/>
        <n v="11222"/>
        <n v="11164"/>
        <n v="8120"/>
        <n v="10726"/>
        <n v="10794"/>
        <n v="11491"/>
        <n v="7453"/>
        <n v="7058"/>
        <n v="10666"/>
        <n v="11523"/>
        <n v="10618"/>
        <n v="8838"/>
        <n v="11755"/>
        <n v="6907"/>
        <n v="8125"/>
        <n v="9757"/>
        <n v="7561"/>
        <n v="11290"/>
        <n v="8947"/>
        <n v="11341"/>
        <n v="8855"/>
        <n v="11554"/>
        <n v="8147"/>
        <n v="6789"/>
        <n v="7936"/>
        <n v="9175"/>
        <n v="7768"/>
        <n v="11389"/>
        <n v="9487"/>
        <n v="11870"/>
        <n v="9858"/>
        <n v="10678"/>
        <n v="7587"/>
        <n v="8737"/>
        <n v="7967"/>
        <n v="7754"/>
        <n v="10300"/>
        <n v="6949"/>
        <n v="8141"/>
        <n v="6729"/>
        <n v="10996"/>
        <n v="7491"/>
        <n v="8921"/>
        <n v="7693"/>
        <n v="8370"/>
        <n v="7793"/>
        <n v="8265"/>
        <n v="9788"/>
        <n v="11047"/>
        <n v="6855"/>
        <n v="7512"/>
        <n v="10123"/>
        <n v="10938"/>
        <n v="11829"/>
        <n v="10511"/>
        <n v="10543"/>
        <n v="9269"/>
        <n v="9743"/>
        <n v="10754"/>
        <n v="8117"/>
        <n v="9148"/>
        <n v="9625"/>
        <n v="7385"/>
        <n v="9755"/>
        <n v="6644"/>
        <n v="9258"/>
        <n v="9959"/>
        <n v="10086"/>
        <n v="10134"/>
        <n v="8932"/>
        <n v="10180"/>
        <n v="7352"/>
        <n v="6637"/>
        <n v="10918"/>
        <n v="9228"/>
        <n v="10434"/>
        <n v="10162"/>
        <n v="10723"/>
        <n v="9466"/>
        <n v="7399"/>
        <n v="10573"/>
        <n v="7245"/>
        <n v="7598"/>
        <n v="7961"/>
        <n v="10647"/>
        <n v="11088"/>
        <n v="7035"/>
        <n v="11532"/>
        <n v="7325"/>
        <n v="7229"/>
        <n v="10895"/>
        <n v="10466"/>
        <n v="9282"/>
        <n v="10833"/>
        <n v="9100"/>
        <n v="7949"/>
        <n v="8212"/>
        <n v="10213"/>
        <n v="9902"/>
        <n v="7977"/>
        <n v="11501"/>
        <n v="9176"/>
        <n v="6650"/>
        <n v="9470"/>
        <n v="8717"/>
        <n v="10581"/>
        <n v="8302"/>
        <n v="8549"/>
        <n v="11698"/>
        <n v="11483"/>
        <n v="8012"/>
        <n v="8795"/>
        <n v="11135"/>
        <n v="8027"/>
        <n v="8526"/>
        <n v="11742"/>
        <n v="11602"/>
        <n v="9303"/>
        <n v="7112"/>
        <n v="11657"/>
        <n v="8920"/>
        <n v="11306"/>
        <n v="7391"/>
        <n v="7889"/>
        <n v="7871"/>
        <n v="7537"/>
        <n v="8509"/>
        <n v="9169"/>
        <n v="6962"/>
        <n v="9340"/>
        <n v="10979"/>
        <n v="7420"/>
        <n v="10436"/>
        <n v="8814"/>
        <n v="7001"/>
        <n v="9869"/>
        <n v="10299"/>
        <n v="7004"/>
        <n v="11681"/>
        <n v="11054"/>
        <n v="9628"/>
        <n v="10005"/>
        <n v="11083"/>
        <n v="11672"/>
        <n v="11921"/>
        <n v="7362"/>
        <n v="7342"/>
        <n v="6590"/>
        <n v="9132"/>
        <n v="11808"/>
        <n v="7990"/>
        <n v="9852"/>
        <n v="9261"/>
        <n v="6796"/>
        <n v="10088"/>
        <n v="11710"/>
        <n v="10549"/>
        <n v="9590"/>
        <n v="9602"/>
        <n v="7289"/>
        <n v="9893"/>
        <n v="10430"/>
        <n v="6918"/>
        <n v="10789"/>
        <n v="7140"/>
        <n v="9496"/>
        <n v="8481"/>
        <n v="9384"/>
        <n v="8538"/>
        <n v="11412"/>
        <n v="8681"/>
        <n v="11906"/>
        <n v="6639"/>
        <n v="6977"/>
        <n v="7197"/>
        <n v="8766"/>
        <n v="9857"/>
        <n v="10391"/>
        <n v="8780"/>
        <n v="8166"/>
        <n v="7448"/>
        <n v="9373"/>
        <n v="9776"/>
        <n v="10264"/>
        <n v="10798"/>
        <n v="9952"/>
        <n v="7258"/>
        <n v="8458"/>
        <n v="9954"/>
        <n v="9575"/>
        <n v="11468"/>
        <n v="6787"/>
        <n v="10906"/>
        <n v="11180"/>
        <n v="8309"/>
        <n v="7732"/>
        <n v="10684"/>
        <n v="6740"/>
        <n v="7383"/>
        <n v="8916"/>
        <n v="11368"/>
        <n v="9099"/>
        <n v="11454"/>
        <n v="9366"/>
        <n v="11520"/>
        <n v="11802"/>
        <n v="11309"/>
        <n v="9472"/>
        <n v="10453"/>
        <n v="7962"/>
        <n v="9769"/>
        <n v="9939"/>
        <n v="8296"/>
        <n v="11408"/>
        <n v="6679"/>
        <n v="9985"/>
        <n v="7132"/>
        <n v="11931"/>
        <n v="10496"/>
        <n v="11695"/>
        <n v="8809"/>
        <n v="10329"/>
        <n v="6780"/>
        <n v="10792"/>
        <n v="10748"/>
        <n v="8132"/>
        <n v="7988"/>
        <n v="8957"/>
        <n v="6766"/>
        <n v="10785"/>
        <n v="11834"/>
        <n v="11064"/>
        <n v="9154"/>
        <n v="8548"/>
        <n v="10467"/>
        <n v="9436"/>
        <n v="7869"/>
        <n v="10385"/>
        <n v="7345"/>
        <n v="11086"/>
        <n v="10462"/>
        <n v="7181"/>
        <n v="8072"/>
        <n v="10155"/>
        <n v="9542"/>
        <n v="10418"/>
        <n v="9333"/>
        <n v="10504"/>
        <n v="6760"/>
        <n v="9710"/>
        <n v="8417"/>
        <n v="10568"/>
        <n v="10139"/>
        <n v="6516"/>
        <n v="10276"/>
        <n v="8973"/>
        <n v="8732"/>
        <n v="10767"/>
        <n v="10567"/>
        <n v="10018"/>
        <n v="11123"/>
        <n v="10508"/>
        <n v="10862"/>
        <n v="8905"/>
        <n v="9003"/>
        <n v="9905"/>
        <n v="8762"/>
        <n v="6850"/>
        <n v="11642"/>
        <n v="11570"/>
        <n v="8946"/>
        <n v="7111"/>
        <n v="7971"/>
        <n v="8938"/>
        <n v="7210"/>
        <n v="9555"/>
        <n v="7809"/>
        <n v="10840"/>
        <n v="9008"/>
        <n v="10864"/>
        <n v="10029"/>
        <n v="9438"/>
        <n v="8450"/>
        <n v="8680"/>
        <n v="8009"/>
        <n v="6593"/>
        <n v="9810"/>
        <n v="8676"/>
        <n v="11612"/>
        <n v="7169"/>
        <n v="8135"/>
        <n v="6996"/>
        <n v="11572"/>
        <n v="6955"/>
        <n v="10279"/>
        <n v="10874"/>
        <n v="11081"/>
        <n v="9444"/>
        <n v="11040"/>
        <n v="6680"/>
        <n v="11669"/>
        <n v="9930"/>
        <n v="10374"/>
        <n v="6623"/>
        <n v="7746"/>
        <n v="9168"/>
        <n v="6840"/>
        <n v="7692"/>
        <n v="7582"/>
        <n v="7741"/>
        <n v="6720"/>
        <n v="9787"/>
        <n v="7761"/>
        <n v="6826"/>
        <n v="11175"/>
        <n v="7616"/>
        <n v="10330"/>
        <n v="7302"/>
        <n v="11631"/>
        <n v="7920"/>
        <n v="11277"/>
        <n v="9086"/>
        <n v="7023"/>
        <n v="7630"/>
        <n v="8128"/>
        <n v="10777"/>
        <n v="6578"/>
        <n v="8352"/>
        <n v="8569"/>
        <n v="11044"/>
        <n v="10733"/>
        <n v="8024"/>
        <n v="10730"/>
        <n v="7355"/>
        <n v="10038"/>
        <n v="6526"/>
        <n v="7944"/>
        <n v="9727"/>
        <n v="9681"/>
        <n v="7464"/>
        <n v="8105"/>
        <n v="11760"/>
        <n v="6716"/>
        <n v="10695"/>
        <n v="10392"/>
        <n v="8969"/>
        <n v="10759"/>
        <n v="8665"/>
        <n v="9049"/>
        <n v="7550"/>
        <n v="7188"/>
        <n v="11068"/>
        <n v="7467"/>
        <n v="8664"/>
        <n v="7980"/>
        <n v="8786"/>
        <n v="8896"/>
        <n v="11365"/>
        <n v="8416"/>
        <n v="7172"/>
        <n v="6798"/>
        <n v="9586"/>
        <n v="7945"/>
        <n v="6795"/>
        <n v="8628"/>
        <n v="9000"/>
        <n v="6753"/>
        <n v="8514"/>
        <n v="10290"/>
        <n v="11674"/>
        <n v="8803"/>
        <n v="10582"/>
        <n v="11302"/>
        <n v="11893"/>
        <n v="9336"/>
        <n v="8306"/>
        <n v="11399"/>
        <n v="7257"/>
        <n v="11759"/>
        <n v="7659"/>
        <n v="7474"/>
        <n v="11917"/>
        <n v="7574"/>
        <n v="8413"/>
        <n v="9966"/>
        <n v="9800"/>
        <n v="7855"/>
        <n v="11497"/>
        <n v="9063"/>
        <n v="8942"/>
        <n v="9970"/>
        <n v="11928"/>
        <n v="8113"/>
        <n v="10033"/>
        <n v="6999"/>
        <n v="10775"/>
        <n v="7139"/>
        <n v="10207"/>
        <n v="9411"/>
        <n v="11668"/>
        <n v="9190"/>
        <n v="9917"/>
        <n v="8529"/>
        <n v="8053"/>
        <n v="7249"/>
        <n v="8790"/>
        <n v="10737"/>
        <n v="7661"/>
        <n v="11976"/>
        <n v="7361"/>
        <n v="7183"/>
        <n v="10278"/>
        <n v="7095"/>
        <n v="7577"/>
        <n v="8759"/>
        <n v="11034"/>
        <n v="11063"/>
        <n v="11774"/>
        <n v="9666"/>
        <n v="10654"/>
        <n v="8806"/>
        <n v="6608"/>
        <n v="11647"/>
        <n v="9441"/>
        <n v="11646"/>
        <n v="11364"/>
        <n v="9935"/>
        <n v="7612"/>
        <n v="11329"/>
        <n v="11281"/>
        <n v="10061"/>
        <n v="9143"/>
        <n v="7958"/>
        <n v="10710"/>
        <n v="8315"/>
        <n v="8463"/>
        <n v="7982"/>
        <n v="9984"/>
        <n v="7828"/>
        <n v="10605"/>
        <n v="7748"/>
        <n v="7611"/>
        <n v="7555"/>
        <n v="8527"/>
        <n v="8150"/>
        <n v="9355"/>
        <n v="6873"/>
        <n v="11295"/>
        <n v="8726"/>
        <n v="6922"/>
        <n v="11910"/>
        <n v="10553"/>
        <n v="9973"/>
        <n v="8960"/>
        <n v="9037"/>
        <n v="7707"/>
        <n v="10653"/>
        <n v="6665"/>
        <n v="11737"/>
        <n v="7100"/>
        <n v="6605"/>
        <n v="8094"/>
        <n v="8812"/>
        <n v="7683"/>
        <n v="11722"/>
        <n v="8049"/>
        <n v="11133"/>
        <n v="10562"/>
        <n v="7105"/>
        <n v="7727"/>
        <n v="8007"/>
        <n v="10043"/>
        <n v="10997"/>
        <n v="9950"/>
        <n v="9206"/>
        <n v="10601"/>
        <n v="9498"/>
        <n v="6614"/>
        <n v="8555"/>
        <n v="7215"/>
        <n v="10836"/>
        <n v="11506"/>
        <n v="6896"/>
        <n v="7792"/>
        <n v="8992"/>
        <n v="10890"/>
        <n v="7473"/>
        <n v="8801"/>
        <n v="11096"/>
        <n v="6897"/>
        <n v="7509"/>
        <n v="8744"/>
        <n v="6951"/>
        <n v="8277"/>
        <n v="7515"/>
        <n v="10897"/>
        <n v="8589"/>
        <n v="7565"/>
        <n v="8017"/>
        <n v="6875"/>
        <n v="11711"/>
        <n v="11456"/>
        <n v="11300"/>
        <n v="11512"/>
        <n v="8778"/>
        <n v="6573"/>
        <n v="10592"/>
        <n v="8935"/>
        <n v="11615"/>
        <n v="8504"/>
        <n v="7075"/>
        <n v="10017"/>
        <n v="11268"/>
        <n v="8811"/>
        <n v="10916"/>
        <n v="11590"/>
        <n v="8898"/>
        <n v="11683"/>
        <n v="10917"/>
        <n v="10446"/>
        <n v="10327"/>
        <n v="8860"/>
        <n v="9284"/>
        <n v="6948"/>
        <n v="8840"/>
        <n v="11313"/>
        <n v="10982"/>
        <n v="10201"/>
        <n v="10803"/>
        <n v="10459"/>
        <n v="7267"/>
        <n v="8945"/>
        <n v="8335"/>
        <n v="8987"/>
        <n v="8557"/>
        <n v="9042"/>
        <n v="6793"/>
        <n v="10805"/>
        <n v="7299"/>
        <n v="11962"/>
        <n v="11415"/>
        <n v="11091"/>
        <n v="10370"/>
        <n v="11614"/>
        <n v="7159"/>
        <n v="11592"/>
        <n v="10746"/>
        <n v="6989"/>
        <n v="10040"/>
        <n v="11940"/>
        <n v="9292"/>
        <n v="7926"/>
        <n v="8307"/>
        <n v="11160"/>
        <n v="9295"/>
        <n v="11087"/>
        <n v="9341"/>
        <n v="11979"/>
        <n v="9501"/>
        <n v="10435"/>
        <n v="8268"/>
        <n v="11393"/>
        <n v="7144"/>
        <n v="9630"/>
        <n v="11984"/>
        <n v="10156"/>
        <n v="7094"/>
        <n v="10477"/>
        <n v="7060"/>
        <n v="10596"/>
        <n v="9814"/>
        <n v="11754"/>
        <n v="7887"/>
        <n v="6970"/>
        <n v="10001"/>
        <n v="11817"/>
        <n v="11561"/>
        <n v="6792"/>
        <n v="10649"/>
        <n v="10619"/>
        <n v="10032"/>
        <n v="10788"/>
        <n v="9784"/>
        <n v="10438"/>
        <n v="8544"/>
        <n v="11117"/>
        <n v="11943"/>
        <n v="9665"/>
        <n v="7069"/>
        <n v="10689"/>
        <n v="9181"/>
        <n v="8624"/>
        <n v="8725"/>
        <n v="11767"/>
        <n v="7562"/>
        <n v="9686"/>
        <n v="10635"/>
        <n v="9389"/>
        <n v="7225"/>
        <n v="10536"/>
        <n v="11745"/>
        <n v="7346"/>
        <n v="11845"/>
        <n v="11457"/>
        <n v="10016"/>
        <n v="11516"/>
        <n v="9717"/>
        <n v="6943"/>
        <n v="10541"/>
        <n v="7090"/>
        <n v="8594"/>
        <n v="7976"/>
        <n v="10586"/>
        <n v="6822"/>
        <n v="8834"/>
        <n v="6934"/>
        <n v="7455"/>
        <n v="8908"/>
        <n v="11420"/>
        <n v="8972"/>
        <n v="8006"/>
        <n v="9523"/>
        <n v="10546"/>
        <n v="11466"/>
        <n v="7802"/>
        <n v="7745"/>
        <n v="6827"/>
        <n v="11809"/>
        <n v="11779"/>
        <n v="10744"/>
        <n v="11565"/>
        <n v="116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n v="0"/>
    <x v="0"/>
    <x v="0"/>
    <s v="United Kingdom"/>
    <s v="Operations"/>
    <s v="Full time"/>
    <x v="0"/>
  </r>
  <r>
    <n v="1"/>
    <x v="0"/>
    <x v="0"/>
    <s v="Makati, Metro Manila, Philippines"/>
    <s v="Aux HQ"/>
    <s v="Full time"/>
    <x v="1"/>
  </r>
  <r>
    <n v="2"/>
    <x v="0"/>
    <x v="1"/>
    <s v="Al-Dajeej, Al Farwaniyah Governorate, Kuwait"/>
    <s v="PWC Technologies"/>
    <s v="Full time"/>
    <x v="2"/>
  </r>
  <r>
    <n v="3"/>
    <x v="0"/>
    <x v="1"/>
    <s v="London, England, United Kingdom"/>
    <s v="Consultants, Advisory"/>
    <s v="Full time"/>
    <x v="3"/>
  </r>
  <r>
    <n v="4"/>
    <x v="0"/>
    <x v="0"/>
    <s v="United Kingdom"/>
    <s v="Operations"/>
    <s v="Full time"/>
    <x v="4"/>
  </r>
  <r>
    <n v="5"/>
    <x v="0"/>
    <x v="0"/>
    <s v="Makati, Metro Manila, Philippines"/>
    <s v="Aux HQ"/>
    <s v="Full time"/>
    <x v="5"/>
  </r>
  <r>
    <n v="6"/>
    <x v="0"/>
    <x v="1"/>
    <s v="Al-Dajeej, Al Farwaniyah Governorate, Kuwait"/>
    <s v="PWC Technologies"/>
    <s v="Full time"/>
    <x v="6"/>
  </r>
  <r>
    <n v="7"/>
    <x v="0"/>
    <x v="1"/>
    <s v="London, England, United Kingdom"/>
    <s v="Consultants, Advisory"/>
    <s v="Full time"/>
    <x v="7"/>
  </r>
  <r>
    <n v="8"/>
    <x v="0"/>
    <x v="0"/>
    <s v="London, England, United Kingdom"/>
    <s v="Change &amp; Innovation"/>
    <s v=""/>
    <x v="8"/>
  </r>
  <r>
    <n v="9"/>
    <x v="0"/>
    <x v="0"/>
    <s v="Makati, Metro Manila, Philippines"/>
    <s v="Aux HQ"/>
    <s v="Full time"/>
    <x v="9"/>
  </r>
  <r>
    <n v="10"/>
    <x v="0"/>
    <x v="1"/>
    <s v="Islamabad, Islamabad Capital Territory, Pakistan"/>
    <s v="Data &amp; Strategy, Performance Analytics"/>
    <s v="Full time"/>
    <x v="10"/>
  </r>
  <r>
    <n v="11"/>
    <x v="0"/>
    <x v="0"/>
    <s v="United States"/>
    <s v="Computer/Software"/>
    <s v="Full time"/>
    <x v="11"/>
  </r>
  <r>
    <n v="12"/>
    <x v="0"/>
    <x v="2"/>
    <s v="London, England, United Kingdom"/>
    <s v="Corporate Affairs"/>
    <s v="Full time"/>
    <x v="12"/>
  </r>
  <r>
    <n v="13"/>
    <x v="0"/>
    <x v="2"/>
    <s v="London, England, United Kingdom"/>
    <s v="Technology"/>
    <s v="Full time"/>
    <x v="13"/>
  </r>
  <r>
    <n v="14"/>
    <x v="0"/>
    <x v="2"/>
    <s v="Cary, North Carolina, United States"/>
    <s v="1 - Operations"/>
    <s v="Full time"/>
    <x v="14"/>
  </r>
  <r>
    <n v="15"/>
    <x v="0"/>
    <x v="1"/>
    <s v="Overland Park, Kansas, United States"/>
    <s v="Consulting"/>
    <s v="Contract"/>
    <x v="15"/>
  </r>
  <r>
    <n v="16"/>
    <x v="0"/>
    <x v="0"/>
    <s v="Brookfield, Wisconsin, United States"/>
    <s v="Security - Delivery"/>
    <s v="Full time"/>
    <x v="16"/>
  </r>
  <r>
    <n v="17"/>
    <x v="0"/>
    <x v="1"/>
    <s v="Islamabad, Islamabad Capital Territory, Pakistan"/>
    <s v="Data &amp; Strategy, Digital Analytics"/>
    <s v="Full time"/>
    <x v="17"/>
  </r>
  <r>
    <n v="18"/>
    <x v="0"/>
    <x v="0"/>
    <s v="London, England, United Kingdom"/>
    <s v="Change &amp; Innovation"/>
    <s v=""/>
    <x v="18"/>
  </r>
  <r>
    <n v="19"/>
    <x v="0"/>
    <x v="0"/>
    <s v="Makati, Metro Manila, Philippines"/>
    <s v="Aux HQ"/>
    <s v="Full time"/>
    <x v="19"/>
  </r>
  <r>
    <n v="20"/>
    <x v="0"/>
    <x v="1"/>
    <s v="Islamabad, Islamabad Capital Territory, Pakistan"/>
    <s v="Data &amp; Strategy, Performance Analytics"/>
    <s v="Full time"/>
    <x v="20"/>
  </r>
  <r>
    <n v="21"/>
    <x v="0"/>
    <x v="0"/>
    <s v="United States"/>
    <s v="Computer/Software"/>
    <s v="Full time"/>
    <x v="21"/>
  </r>
  <r>
    <n v="22"/>
    <x v="0"/>
    <x v="2"/>
    <s v="London, England, United Kingdom"/>
    <s v="Corporate Affairs"/>
    <s v="Full time"/>
    <x v="22"/>
  </r>
  <r>
    <n v="23"/>
    <x v="0"/>
    <x v="2"/>
    <s v="London, England, United Kingdom"/>
    <s v="Technology"/>
    <s v="Full time"/>
    <x v="23"/>
  </r>
  <r>
    <n v="24"/>
    <x v="0"/>
    <x v="2"/>
    <s v="Cary, North Carolina, United States"/>
    <s v="1 - Operations"/>
    <s v="Full time"/>
    <x v="24"/>
  </r>
  <r>
    <n v="25"/>
    <x v="0"/>
    <x v="1"/>
    <s v="Overland Park, Kansas, United States"/>
    <s v="Consulting"/>
    <s v="Contract"/>
    <x v="25"/>
  </r>
  <r>
    <n v="26"/>
    <x v="0"/>
    <x v="0"/>
    <s v="Brookfield, Wisconsin, United States"/>
    <s v="Security - Delivery"/>
    <s v="Full time"/>
    <x v="26"/>
  </r>
  <r>
    <n v="27"/>
    <x v="0"/>
    <x v="1"/>
    <s v="Islamabad, Islamabad Capital Territory, Pakistan"/>
    <s v="Data &amp; Strategy, Digital Analytics"/>
    <s v="Full time"/>
    <x v="27"/>
  </r>
  <r>
    <n v="28"/>
    <x v="0"/>
    <x v="0"/>
    <s v="Athens, Attica, Greece"/>
    <s v="DELIV1"/>
    <s v="Full time"/>
    <x v="28"/>
  </r>
  <r>
    <n v="29"/>
    <x v="0"/>
    <x v="1"/>
    <s v="Astana, Aqmola oblısı, Kazakhstan"/>
    <s v="TECH"/>
    <s v="Full time"/>
    <x v="29"/>
  </r>
  <r>
    <n v="30"/>
    <x v="0"/>
    <x v="1"/>
    <s v="North West, England, United Kingdom"/>
    <s v="Change+"/>
    <s v=""/>
    <x v="30"/>
  </r>
  <r>
    <n v="31"/>
    <x v="0"/>
    <x v="2"/>
    <s v="Berlin, Berlin, Germany"/>
    <s v="Business &amp; Organization"/>
    <s v=""/>
    <x v="31"/>
  </r>
  <r>
    <n v="32"/>
    <x v="0"/>
    <x v="0"/>
    <s v="Washington, District of Columbia, United States"/>
    <s v="Account Team"/>
    <s v="Full time"/>
    <x v="32"/>
  </r>
  <r>
    <n v="33"/>
    <x v="0"/>
    <x v="1"/>
    <s v="Boston, Massachusetts, United States"/>
    <s v="Delivery"/>
    <s v="Full time"/>
    <x v="33"/>
  </r>
  <r>
    <n v="34"/>
    <x v="0"/>
    <x v="1"/>
    <s v="Orlando, Florida, United States"/>
    <s v="Information Technology"/>
    <s v="Full time"/>
    <x v="34"/>
  </r>
  <r>
    <n v="35"/>
    <x v="0"/>
    <x v="1"/>
    <s v="London, England, United Kingdom"/>
    <s v="Change+"/>
    <s v=""/>
    <x v="35"/>
  </r>
  <r>
    <n v="36"/>
    <x v="0"/>
    <x v="0"/>
    <s v="Makati, Metro Manila, Philippines"/>
    <s v="Aux HQ"/>
    <s v="Full time"/>
    <x v="36"/>
  </r>
  <r>
    <n v="37"/>
    <x v="0"/>
    <x v="1"/>
    <s v="Washington, District of Columbia, United States"/>
    <s v="Labs"/>
    <s v="Full time"/>
    <x v="37"/>
  </r>
  <r>
    <n v="38"/>
    <x v="0"/>
    <x v="0"/>
    <s v="Athens, Attica, Greece"/>
    <s v="DELIV1"/>
    <s v="Full time"/>
    <x v="38"/>
  </r>
  <r>
    <n v="39"/>
    <x v="0"/>
    <x v="1"/>
    <s v="Astana, Aqmola oblısı, Kazakhstan"/>
    <s v="TECH"/>
    <s v="Full time"/>
    <x v="39"/>
  </r>
  <r>
    <n v="40"/>
    <x v="0"/>
    <x v="1"/>
    <s v="North West, England, United Kingdom"/>
    <s v="Change+"/>
    <s v=""/>
    <x v="40"/>
  </r>
  <r>
    <n v="41"/>
    <x v="0"/>
    <x v="2"/>
    <s v="Berlin, Berlin, Germany"/>
    <s v="Business &amp; Organization"/>
    <s v=""/>
    <x v="41"/>
  </r>
  <r>
    <n v="42"/>
    <x v="0"/>
    <x v="0"/>
    <s v="Washington, District of Columbia, United States"/>
    <s v="Account Team"/>
    <s v="Full time"/>
    <x v="42"/>
  </r>
  <r>
    <n v="43"/>
    <x v="0"/>
    <x v="1"/>
    <s v="Boston, Massachusetts, United States"/>
    <s v="Delivery"/>
    <s v="Full time"/>
    <x v="43"/>
  </r>
  <r>
    <n v="44"/>
    <x v="0"/>
    <x v="1"/>
    <s v="Orlando, Florida, United States"/>
    <s v="Information Technology"/>
    <s v="Full time"/>
    <x v="44"/>
  </r>
  <r>
    <n v="45"/>
    <x v="0"/>
    <x v="1"/>
    <s v="London, England, United Kingdom"/>
    <s v="Change+"/>
    <s v=""/>
    <x v="45"/>
  </r>
  <r>
    <n v="46"/>
    <x v="0"/>
    <x v="0"/>
    <s v="Makati, Metro Manila, Philippines"/>
    <s v="Aux HQ"/>
    <s v="Full time"/>
    <x v="46"/>
  </r>
  <r>
    <n v="47"/>
    <x v="0"/>
    <x v="1"/>
    <s v="Washington, District of Columbia, United States"/>
    <s v="Labs"/>
    <s v="Full time"/>
    <x v="47"/>
  </r>
  <r>
    <n v="48"/>
    <x v="0"/>
    <x v="1"/>
    <s v="Austin, Texas, United States"/>
    <s v="Data Management"/>
    <s v="Full time"/>
    <x v="48"/>
  </r>
  <r>
    <n v="49"/>
    <x v="0"/>
    <x v="1"/>
    <s v="Brisbane, Queensland, Australia"/>
    <s v="Australia Markets, Technical Services, Intelligence Workspace"/>
    <s v="Full time"/>
    <x v="49"/>
  </r>
  <r>
    <n v="50"/>
    <x v="0"/>
    <x v="2"/>
    <s v="Salt Lake City, Utah, United States"/>
    <s v="Delivery"/>
    <s v="Full time"/>
    <x v="50"/>
  </r>
  <r>
    <n v="51"/>
    <x v="0"/>
    <x v="2"/>
    <s v="Vancouver, British Columbia, Canada"/>
    <s v="Business Management"/>
    <s v="Full time"/>
    <x v="51"/>
  </r>
  <r>
    <n v="52"/>
    <x v="0"/>
    <x v="0"/>
    <s v="Edinburgh, Scotland, United Kingdom"/>
    <s v="Business Services Professionals, Risk &amp; Compliance"/>
    <s v="Full time"/>
    <x v="52"/>
  </r>
  <r>
    <n v="53"/>
    <x v="0"/>
    <x v="1"/>
    <s v="Swords, County Dublin, Ireland"/>
    <s v="HR"/>
    <s v="Full time"/>
    <x v="53"/>
  </r>
  <r>
    <n v="54"/>
    <x v="0"/>
    <x v="1"/>
    <s v="London, England, United Kingdom"/>
    <s v="Consultants, Advisory"/>
    <s v="Full time"/>
    <x v="54"/>
  </r>
  <r>
    <n v="55"/>
    <x v="0"/>
    <x v="1"/>
    <s v="London, England, United Kingdom"/>
    <s v="Credit Risk"/>
    <s v=""/>
    <x v="55"/>
  </r>
  <r>
    <n v="56"/>
    <x v="0"/>
    <x v="2"/>
    <s v="Athens, Attica, Greece"/>
    <s v="Operations"/>
    <s v=""/>
    <x v="56"/>
  </r>
  <r>
    <n v="57"/>
    <x v="0"/>
    <x v="1"/>
    <s v="Austin, Texas, United States"/>
    <s v="Data Management"/>
    <s v="Full time"/>
    <x v="57"/>
  </r>
  <r>
    <n v="58"/>
    <x v="0"/>
    <x v="1"/>
    <s v="Brisbane, Queensland, Australia"/>
    <s v="Australia Markets, Technical Services, Intelligence Workspace"/>
    <s v="Full time"/>
    <x v="58"/>
  </r>
  <r>
    <n v="59"/>
    <x v="0"/>
    <x v="2"/>
    <s v="Salt Lake City, Utah, United States"/>
    <s v="Delivery"/>
    <s v="Full time"/>
    <x v="59"/>
  </r>
  <r>
    <n v="60"/>
    <x v="0"/>
    <x v="2"/>
    <s v="Vancouver, British Columbia, Canada"/>
    <s v="Business Management"/>
    <s v="Full time"/>
    <x v="60"/>
  </r>
  <r>
    <n v="61"/>
    <x v="0"/>
    <x v="0"/>
    <s v="Edinburgh, Scotland, United Kingdom"/>
    <s v="Business Services Professionals, Risk &amp; Compliance"/>
    <s v="Full time"/>
    <x v="61"/>
  </r>
  <r>
    <n v="62"/>
    <x v="0"/>
    <x v="1"/>
    <s v="Swords, County Dublin, Ireland"/>
    <s v="HR"/>
    <s v="Full time"/>
    <x v="62"/>
  </r>
  <r>
    <n v="63"/>
    <x v="0"/>
    <x v="1"/>
    <s v="London, England, United Kingdom"/>
    <s v="Consultants, Advisory"/>
    <s v="Full time"/>
    <x v="63"/>
  </r>
  <r>
    <n v="64"/>
    <x v="0"/>
    <x v="1"/>
    <s v="London, England, United Kingdom"/>
    <s v="Credit Risk"/>
    <s v=""/>
    <x v="64"/>
  </r>
  <r>
    <n v="65"/>
    <x v="0"/>
    <x v="2"/>
    <s v="Athens, Attica, Greece"/>
    <s v="Operations"/>
    <s v=""/>
    <x v="65"/>
  </r>
  <r>
    <n v="66"/>
    <x v="0"/>
    <x v="1"/>
    <s v="Dublin, County Dublin, Ireland"/>
    <s v="Ryanair Labs Dublin"/>
    <s v="Full time"/>
    <x v="66"/>
  </r>
  <r>
    <n v="67"/>
    <x v="0"/>
    <x v="2"/>
    <s v="London, England, United Kingdom"/>
    <s v="Corporate Affairs"/>
    <s v="Full time"/>
    <x v="67"/>
  </r>
  <r>
    <n v="68"/>
    <x v="0"/>
    <x v="1"/>
    <s v="Hursley, England, United Kingdom"/>
    <s v="Tech+"/>
    <s v=""/>
    <x v="68"/>
  </r>
  <r>
    <n v="69"/>
    <x v="0"/>
    <x v="1"/>
    <s v="Sacramento, California, United States"/>
    <s v="ITPM"/>
    <s v="Full time"/>
    <x v="69"/>
  </r>
  <r>
    <n v="70"/>
    <x v="0"/>
    <x v="2"/>
    <s v="Dublin, County Dublin, Ireland"/>
    <s v="Product Delivery"/>
    <s v="Full time"/>
    <x v="70"/>
  </r>
  <r>
    <n v="71"/>
    <x v="0"/>
    <x v="1"/>
    <s v="Cambridge, England, United Kingdom"/>
    <s v="Change+"/>
    <s v=""/>
    <x v="71"/>
  </r>
  <r>
    <n v="72"/>
    <x v="0"/>
    <x v="0"/>
    <s v="Cherry Hill, New Jersey, United States"/>
    <s v=""/>
    <s v="Contract"/>
    <x v="72"/>
  </r>
  <r>
    <n v="73"/>
    <x v="0"/>
    <x v="1"/>
    <s v="Orlando, Florida, United States"/>
    <s v="Information Technology"/>
    <s v="Full time"/>
    <x v="73"/>
  </r>
  <r>
    <n v="74"/>
    <x v="0"/>
    <x v="2"/>
    <s v="Athens, Greece"/>
    <s v="Information Technology"/>
    <s v="Full time"/>
    <x v="74"/>
  </r>
  <r>
    <n v="75"/>
    <x v="0"/>
    <x v="1"/>
    <s v="Dublin, County Dublin, Ireland"/>
    <s v="Ryanair Labs Dublin"/>
    <s v="Full time"/>
    <x v="75"/>
  </r>
  <r>
    <n v="76"/>
    <x v="0"/>
    <x v="2"/>
    <s v="London, England, United Kingdom"/>
    <s v="Corporate Affairs"/>
    <s v="Full time"/>
    <x v="76"/>
  </r>
  <r>
    <n v="77"/>
    <x v="0"/>
    <x v="1"/>
    <s v="Hursley, England, United Kingdom"/>
    <s v="Tech+"/>
    <s v=""/>
    <x v="77"/>
  </r>
  <r>
    <n v="78"/>
    <x v="0"/>
    <x v="3"/>
    <s v="Sacramento, California, United States"/>
    <s v="ITPM"/>
    <s v="Full time"/>
    <x v="78"/>
  </r>
  <r>
    <n v="79"/>
    <x v="0"/>
    <x v="2"/>
    <s v="Dublin, County Dublin, Ireland"/>
    <s v="Product Delivery"/>
    <s v="Full time"/>
    <x v="79"/>
  </r>
  <r>
    <n v="80"/>
    <x v="0"/>
    <x v="1"/>
    <s v="Cambridge, England, United Kingdom"/>
    <s v="Change+"/>
    <s v=""/>
    <x v="80"/>
  </r>
  <r>
    <n v="81"/>
    <x v="0"/>
    <x v="0"/>
    <s v="Cherry Hill, New Jersey, United States"/>
    <s v=""/>
    <s v="Contract"/>
    <x v="81"/>
  </r>
  <r>
    <n v="82"/>
    <x v="0"/>
    <x v="1"/>
    <s v="Orlando, Florida, United States"/>
    <s v="Information Technology"/>
    <s v="Full time"/>
    <x v="82"/>
  </r>
  <r>
    <n v="83"/>
    <x v="0"/>
    <x v="2"/>
    <s v="Athens, Greece"/>
    <s v="Information Technology"/>
    <s v="Full time"/>
    <x v="83"/>
  </r>
  <r>
    <n v="84"/>
    <x v="0"/>
    <x v="1"/>
    <s v="Dublin, County Dublin, Ireland"/>
    <s v="Information Systems"/>
    <s v="Full time"/>
    <x v="84"/>
  </r>
  <r>
    <n v="85"/>
    <x v="0"/>
    <x v="1"/>
    <s v="Overland Park, Kansas, United States"/>
    <s v="Consulting"/>
    <s v="Contract"/>
    <x v="85"/>
  </r>
  <r>
    <n v="86"/>
    <x v="0"/>
    <x v="2"/>
    <s v="Cary, North Carolina, United States"/>
    <s v="1 - Operations"/>
    <s v="Full time"/>
    <x v="86"/>
  </r>
  <r>
    <n v="87"/>
    <x v="0"/>
    <x v="1"/>
    <s v="Warrington, England, United Kingdom"/>
    <s v="Data+"/>
    <s v="Full time"/>
    <x v="87"/>
  </r>
  <r>
    <n v="88"/>
    <x v="0"/>
    <x v="0"/>
    <s v="France"/>
    <s v="Marketing"/>
    <s v="Full time"/>
    <x v="88"/>
  </r>
  <r>
    <n v="89"/>
    <x v="0"/>
    <x v="1"/>
    <s v="Douala, Littoral, Cameroon"/>
    <s v=""/>
    <s v="Full time"/>
    <x v="89"/>
  </r>
  <r>
    <n v="90"/>
    <x v="0"/>
    <x v="0"/>
    <s v="Cherry Hill, New Jersey, United States"/>
    <s v=""/>
    <s v="Contract"/>
    <x v="90"/>
  </r>
  <r>
    <n v="91"/>
    <x v="0"/>
    <x v="0"/>
    <s v="Jordan"/>
    <s v=""/>
    <s v=""/>
    <x v="91"/>
  </r>
  <r>
    <n v="92"/>
    <x v="0"/>
    <x v="1"/>
    <s v="Lagos, Lagos, Nigeria"/>
    <s v="Information Technology"/>
    <s v="Full time"/>
    <x v="92"/>
  </r>
  <r>
    <n v="93"/>
    <x v="0"/>
    <x v="1"/>
    <s v="Amman, Amman Governorate, Jordan"/>
    <s v="Sales, OLX Oman Jordan"/>
    <s v="Full time"/>
    <x v="93"/>
  </r>
  <r>
    <n v="94"/>
    <x v="0"/>
    <x v="1"/>
    <s v="Cebu City, Central Visayas, Philippines"/>
    <s v=""/>
    <s v="Full time"/>
    <x v="94"/>
  </r>
  <r>
    <n v="95"/>
    <x v="0"/>
    <x v="0"/>
    <s v="London, England, United Kingdom"/>
    <s v="Analytics"/>
    <s v="Full time"/>
    <x v="95"/>
  </r>
  <r>
    <n v="96"/>
    <x v="0"/>
    <x v="2"/>
    <s v="London, England, United Kingdom"/>
    <s v="Finance"/>
    <s v="Full time"/>
    <x v="96"/>
  </r>
  <r>
    <n v="97"/>
    <x v="0"/>
    <x v="0"/>
    <s v="Belle Isle, Florida, United States"/>
    <s v=""/>
    <s v="Full time"/>
    <x v="97"/>
  </r>
  <r>
    <n v="98"/>
    <x v="0"/>
    <x v="0"/>
    <s v="United States"/>
    <s v="Computer/Software"/>
    <s v="Full time"/>
    <x v="75"/>
  </r>
  <r>
    <n v="99"/>
    <x v="0"/>
    <x v="1"/>
    <s v="Belgrade, Vojvodina, Serbia"/>
    <s v="IMPLEMENTATIONS &amp; DELIVERY"/>
    <s v="Full time"/>
    <x v="98"/>
  </r>
  <r>
    <n v="100"/>
    <x v="0"/>
    <x v="2"/>
    <s v="Auckland, Auckland, New Zealand"/>
    <s v="Insights"/>
    <s v="Full time"/>
    <x v="99"/>
  </r>
  <r>
    <n v="101"/>
    <x v="0"/>
    <x v="1"/>
    <s v="Riyadh, Riyadh Province, Saudi Arabia"/>
    <s v="Commercial"/>
    <s v="Contract"/>
    <x v="2"/>
  </r>
  <r>
    <n v="102"/>
    <x v="0"/>
    <x v="1"/>
    <s v="London, England, United Kingdom"/>
    <s v="Private Credit"/>
    <s v="Full time"/>
    <x v="100"/>
  </r>
  <r>
    <n v="103"/>
    <x v="0"/>
    <x v="1"/>
    <s v="UK, United Kingdom, United Kingdom"/>
    <s v="Data+"/>
    <s v=""/>
    <x v="16"/>
  </r>
  <r>
    <n v="104"/>
    <x v="0"/>
    <x v="2"/>
    <s v="Melbourne, Victoria, Australia"/>
    <s v="Platform Product"/>
    <s v="Full time"/>
    <x v="101"/>
  </r>
  <r>
    <n v="105"/>
    <x v="0"/>
    <x v="1"/>
    <s v="Bengaluru, Karnataka, India"/>
    <s v=""/>
    <s v="Full time"/>
    <x v="102"/>
  </r>
  <r>
    <n v="106"/>
    <x v="0"/>
    <x v="1"/>
    <s v="Leeds, England, United Kingdom"/>
    <s v="Research Analysts"/>
    <s v="Contract"/>
    <x v="103"/>
  </r>
  <r>
    <n v="107"/>
    <x v="0"/>
    <x v="1"/>
    <s v="Sydney, New South Wales, Australia"/>
    <s v="IT"/>
    <s v="Contract"/>
    <x v="104"/>
  </r>
  <r>
    <n v="108"/>
    <x v="0"/>
    <x v="1"/>
    <s v="Chalcis, Central Greece, Greece"/>
    <s v="Αθήνα"/>
    <s v="Other"/>
    <x v="105"/>
  </r>
  <r>
    <n v="109"/>
    <x v="0"/>
    <x v="0"/>
    <s v="Arlington, Virginia, United States"/>
    <s v="Digital Services"/>
    <s v="Full time"/>
    <x v="106"/>
  </r>
  <r>
    <n v="110"/>
    <x v="0"/>
    <x v="3"/>
    <s v=""/>
    <s v=""/>
    <s v=""/>
    <x v="107"/>
  </r>
  <r>
    <n v="111"/>
    <x v="0"/>
    <x v="1"/>
    <s v="Jeddah, Makkah Province, Saudi Arabia"/>
    <s v="Data and Analytics"/>
    <s v="Full time"/>
    <x v="2"/>
  </r>
  <r>
    <n v="112"/>
    <x v="0"/>
    <x v="2"/>
    <s v="Manchester, England, United Kingdom"/>
    <s v="Development and Technical"/>
    <s v="Full time"/>
    <x v="108"/>
  </r>
  <r>
    <n v="113"/>
    <x v="0"/>
    <x v="3"/>
    <s v="Kuwait City, Al Asimah Governate, Kuwait"/>
    <s v="Agility Logistics Parks"/>
    <s v="Full time"/>
    <x v="109"/>
  </r>
  <r>
    <n v="114"/>
    <x v="0"/>
    <x v="2"/>
    <s v="London, England, United Kingdom"/>
    <s v="Finance"/>
    <s v="Full time"/>
    <x v="110"/>
  </r>
  <r>
    <n v="115"/>
    <x v="0"/>
    <x v="0"/>
    <s v="Delhi, India"/>
    <s v=""/>
    <s v=""/>
    <x v="111"/>
  </r>
  <r>
    <n v="116"/>
    <x v="0"/>
    <x v="2"/>
    <s v="Toronto, Ontario, Canada"/>
    <s v="Business Management"/>
    <s v="Full time"/>
    <x v="112"/>
  </r>
  <r>
    <n v="117"/>
    <x v="0"/>
    <x v="0"/>
    <s v="Cairo, Cairo Governorate, Egypt"/>
    <s v="59"/>
    <s v=""/>
    <x v="113"/>
  </r>
  <r>
    <n v="118"/>
    <x v="0"/>
    <x v="1"/>
    <s v="North West, England, United Kingdom"/>
    <s v="Change+"/>
    <s v=""/>
    <x v="114"/>
  </r>
  <r>
    <n v="119"/>
    <x v="0"/>
    <x v="1"/>
    <s v="Lagos, Lagos, Nigeria"/>
    <s v="DCP - Operations"/>
    <s v="Full time"/>
    <x v="115"/>
  </r>
  <r>
    <n v="120"/>
    <x v="0"/>
    <x v="1"/>
    <s v="Calgary, Alberta, Canada"/>
    <s v=""/>
    <s v="Full time"/>
    <x v="116"/>
  </r>
  <r>
    <n v="121"/>
    <x v="0"/>
    <x v="1"/>
    <s v="New York, New York, United States"/>
    <s v="Corporate"/>
    <s v="Full time"/>
    <x v="117"/>
  </r>
  <r>
    <n v="122"/>
    <x v="0"/>
    <x v="2"/>
    <s v="San Antonio, Texas, United States"/>
    <s v=""/>
    <s v="Full time"/>
    <x v="87"/>
  </r>
  <r>
    <n v="123"/>
    <x v="0"/>
    <x v="1"/>
    <s v="London, England, United Kingdom"/>
    <s v="Private Credit"/>
    <s v="Full time"/>
    <x v="118"/>
  </r>
  <r>
    <n v="124"/>
    <x v="0"/>
    <x v="0"/>
    <s v="Philippines"/>
    <s v=""/>
    <s v=""/>
    <x v="119"/>
  </r>
  <r>
    <n v="125"/>
    <x v="0"/>
    <x v="1"/>
    <s v="Bengaluru, Karnataka, India"/>
    <s v=""/>
    <s v="Full time"/>
    <x v="120"/>
  </r>
  <r>
    <n v="126"/>
    <x v="0"/>
    <x v="1"/>
    <s v="Calgary, Alberta, Canada"/>
    <s v="Analysis"/>
    <s v="Full time"/>
    <x v="121"/>
  </r>
  <r>
    <n v="127"/>
    <x v="0"/>
    <x v="1"/>
    <s v="London, England, United Kingdom"/>
    <s v="Research Analysts"/>
    <s v="Contract"/>
    <x v="122"/>
  </r>
  <r>
    <n v="128"/>
    <x v="0"/>
    <x v="1"/>
    <s v="Fort Worth, Texas, United States"/>
    <s v="Analytics"/>
    <s v="Full time"/>
    <x v="123"/>
  </r>
  <r>
    <n v="129"/>
    <x v="0"/>
    <x v="1"/>
    <s v="Lagos, Lagos, Nigeria"/>
    <s v="CX Operations"/>
    <s v="Full time"/>
    <x v="124"/>
  </r>
  <r>
    <n v="130"/>
    <x v="0"/>
    <x v="0"/>
    <s v="Lagos, Lagos, Nigeria"/>
    <s v="Data Science"/>
    <s v="Full time"/>
    <x v="125"/>
  </r>
  <r>
    <n v="131"/>
    <x v="0"/>
    <x v="1"/>
    <s v="Obajana, Kogi, Nigeria"/>
    <s v="Risk Management"/>
    <s v="Full time"/>
    <x v="126"/>
  </r>
  <r>
    <n v="132"/>
    <x v="0"/>
    <x v="0"/>
    <s v="Boston, Massachusetts, United States"/>
    <s v="Science &amp; Knowledge"/>
    <s v=""/>
    <x v="127"/>
  </r>
  <r>
    <n v="133"/>
    <x v="0"/>
    <x v="1"/>
    <s v="Makati, Metro Manila, Philippines"/>
    <s v="Operations"/>
    <s v="Full time"/>
    <x v="128"/>
  </r>
  <r>
    <n v="134"/>
    <x v="0"/>
    <x v="0"/>
    <s v="Philippines"/>
    <s v=""/>
    <s v=""/>
    <x v="23"/>
  </r>
  <r>
    <n v="135"/>
    <x v="0"/>
    <x v="2"/>
    <s v="London, England, United Kingdom"/>
    <s v="Customer Experience"/>
    <s v="Full time"/>
    <x v="129"/>
  </r>
  <r>
    <n v="136"/>
    <x v="0"/>
    <x v="1"/>
    <s v="Anfa-Casablanca, Casablanca-Settat, Morocco"/>
    <s v="Research"/>
    <s v="Full time"/>
    <x v="130"/>
  </r>
  <r>
    <n v="137"/>
    <x v="0"/>
    <x v="2"/>
    <s v="Athens, Attica, Greece"/>
    <s v="Finance"/>
    <s v="Full time"/>
    <x v="131"/>
  </r>
  <r>
    <n v="138"/>
    <x v="0"/>
    <x v="2"/>
    <s v="London, England, United Kingdom"/>
    <s v=""/>
    <s v="Full time"/>
    <x v="132"/>
  </r>
  <r>
    <n v="139"/>
    <x v="0"/>
    <x v="0"/>
    <s v="Sacramento, California, United States"/>
    <s v="Finance"/>
    <s v="Full time"/>
    <x v="133"/>
  </r>
  <r>
    <n v="140"/>
    <x v="0"/>
    <x v="2"/>
    <s v="Montreal, Quebec, Canada"/>
    <s v="Structured Content"/>
    <s v=""/>
    <x v="134"/>
  </r>
  <r>
    <n v="141"/>
    <x v="0"/>
    <x v="2"/>
    <s v="Milan, Metropolitan City of Milan, Italy"/>
    <s v="Strategy &amp; BI"/>
    <s v="Full time"/>
    <x v="135"/>
  </r>
  <r>
    <n v="142"/>
    <x v="0"/>
    <x v="2"/>
    <s v="Sofia, Sofia City Province, Bulgaria"/>
    <s v=""/>
    <s v="Full time"/>
    <x v="136"/>
  </r>
  <r>
    <n v="143"/>
    <x v="0"/>
    <x v="0"/>
    <s v="United States"/>
    <s v=""/>
    <s v="Contract"/>
    <x v="137"/>
  </r>
  <r>
    <n v="144"/>
    <x v="0"/>
    <x v="1"/>
    <s v="Al-Dajeej, Al Farwaniyah Governorate, Kuwait"/>
    <s v="PWC Technologies"/>
    <s v="Full time"/>
    <x v="138"/>
  </r>
  <r>
    <n v="145"/>
    <x v="0"/>
    <x v="2"/>
    <s v="Golden, Colorado, United States"/>
    <s v="Asset Management"/>
    <s v="Full time"/>
    <x v="139"/>
  </r>
  <r>
    <n v="146"/>
    <x v="0"/>
    <x v="1"/>
    <s v="Dubai, Dubai, United Arab Emirates"/>
    <s v="Strategy"/>
    <s v=""/>
    <x v="140"/>
  </r>
  <r>
    <n v="147"/>
    <x v="0"/>
    <x v="2"/>
    <s v="Phra Khanong, Bangkok, Thailand"/>
    <s v="Data Science"/>
    <s v="Full time"/>
    <x v="141"/>
  </r>
  <r>
    <n v="148"/>
    <x v="0"/>
    <x v="1"/>
    <s v="Lagos, Lagos, Nigeria"/>
    <s v="DCP - Finance &amp; IT"/>
    <s v="Full time"/>
    <x v="142"/>
  </r>
  <r>
    <n v="149"/>
    <x v="0"/>
    <x v="1"/>
    <s v="Concord, New Hampshire, United States"/>
    <s v="Related Services"/>
    <s v="Full time"/>
    <x v="143"/>
  </r>
  <r>
    <n v="150"/>
    <x v="0"/>
    <x v="1"/>
    <s v="Bristol, England, United Kingdom"/>
    <s v=""/>
    <s v="Full time"/>
    <x v="144"/>
  </r>
  <r>
    <n v="151"/>
    <x v="0"/>
    <x v="0"/>
    <s v="London, England, United Kingdom"/>
    <s v="Associates"/>
    <s v="Contract"/>
    <x v="145"/>
  </r>
  <r>
    <n v="152"/>
    <x v="0"/>
    <x v="1"/>
    <s v="Hursley, England, United Kingdom"/>
    <s v="Tech+"/>
    <s v=""/>
    <x v="146"/>
  </r>
  <r>
    <n v="153"/>
    <x v="0"/>
    <x v="1"/>
    <s v="Amarillo, Texas, United States"/>
    <s v="Human Resources"/>
    <s v="Full time"/>
    <x v="147"/>
  </r>
  <r>
    <n v="154"/>
    <x v="0"/>
    <x v="1"/>
    <s v="New York, New York, United States"/>
    <s v="Technology/Data"/>
    <s v="Full time"/>
    <x v="148"/>
  </r>
  <r>
    <n v="155"/>
    <x v="0"/>
    <x v="0"/>
    <s v="Jakarta, Jakarta, Indonesia"/>
    <s v="Data"/>
    <s v="Full time"/>
    <x v="149"/>
  </r>
  <r>
    <n v="156"/>
    <x v="0"/>
    <x v="1"/>
    <s v="Dubai, Dubai, United Arab Emirates"/>
    <s v=""/>
    <s v="Full time"/>
    <x v="150"/>
  </r>
  <r>
    <n v="157"/>
    <x v="0"/>
    <x v="0"/>
    <s v="Austin, Texas, United States"/>
    <s v="Engineering"/>
    <s v="Full time"/>
    <x v="151"/>
  </r>
  <r>
    <n v="158"/>
    <x v="0"/>
    <x v="1"/>
    <s v="Virginia Beach, Virginia, United States"/>
    <s v="Corporate Strategy"/>
    <s v="Full time"/>
    <x v="152"/>
  </r>
  <r>
    <n v="159"/>
    <x v="0"/>
    <x v="1"/>
    <s v="Riyadh, Riyadh Province, Saudi Arabia"/>
    <s v="Bayut KSA, Internal Audit &amp; Compliance"/>
    <s v=""/>
    <x v="153"/>
  </r>
  <r>
    <n v="160"/>
    <x v="0"/>
    <x v="2"/>
    <s v="Barlborough, England, United Kingdom"/>
    <s v="Business Support"/>
    <s v="Part time"/>
    <x v="154"/>
  </r>
  <r>
    <n v="161"/>
    <x v="0"/>
    <x v="0"/>
    <s v="Delhi, India"/>
    <s v=""/>
    <s v="Contract"/>
    <x v="116"/>
  </r>
  <r>
    <n v="162"/>
    <x v="0"/>
    <x v="1"/>
    <s v="Mexico City, Mexico City, Mexico"/>
    <s v="One Research"/>
    <s v="Full time"/>
    <x v="155"/>
  </r>
  <r>
    <n v="163"/>
    <x v="0"/>
    <x v="1"/>
    <s v="Singapore, Central, Singapore"/>
    <s v="Management"/>
    <s v="Full time"/>
    <x v="156"/>
  </r>
  <r>
    <n v="164"/>
    <x v="0"/>
    <x v="1"/>
    <s v="Sydney, New South Wales, Australia"/>
    <s v="Sales"/>
    <s v="Full time"/>
    <x v="157"/>
  </r>
  <r>
    <n v="165"/>
    <x v="0"/>
    <x v="0"/>
    <s v="Jakarta, Jakarta, Indonesia"/>
    <s v="Data"/>
    <s v="Full time"/>
    <x v="158"/>
  </r>
  <r>
    <n v="166"/>
    <x v="0"/>
    <x v="1"/>
    <s v="Dubai, Dubai, United Arab Emirates"/>
    <s v=""/>
    <s v="Full time"/>
    <x v="159"/>
  </r>
  <r>
    <n v="167"/>
    <x v="0"/>
    <x v="0"/>
    <s v="Austin, Texas, United States"/>
    <s v="Engineering"/>
    <s v="Full time"/>
    <x v="160"/>
  </r>
  <r>
    <n v="168"/>
    <x v="0"/>
    <x v="1"/>
    <s v="Virginia Beach, Virginia, United States"/>
    <s v="Corporate Strategy"/>
    <s v="Full time"/>
    <x v="161"/>
  </r>
  <r>
    <n v="169"/>
    <x v="0"/>
    <x v="1"/>
    <s v="Riyadh, Riyadh Province, Saudi Arabia"/>
    <s v="Bayut KSA, Internal Audit &amp; Compliance"/>
    <s v=""/>
    <x v="162"/>
  </r>
  <r>
    <n v="170"/>
    <x v="0"/>
    <x v="2"/>
    <s v="Barlborough, England, United Kingdom"/>
    <s v="Business Support"/>
    <s v="Part time"/>
    <x v="163"/>
  </r>
  <r>
    <n v="171"/>
    <x v="0"/>
    <x v="0"/>
    <s v="Delhi, India"/>
    <s v=""/>
    <s v="Contract"/>
    <x v="164"/>
  </r>
  <r>
    <n v="172"/>
    <x v="0"/>
    <x v="1"/>
    <s v="Mexico City, Mexico City, Mexico"/>
    <s v="One Research"/>
    <s v="Full time"/>
    <x v="165"/>
  </r>
  <r>
    <n v="173"/>
    <x v="0"/>
    <x v="1"/>
    <s v="Singapore, Central, Singapore"/>
    <s v="Management"/>
    <s v="Full time"/>
    <x v="166"/>
  </r>
  <r>
    <n v="174"/>
    <x v="0"/>
    <x v="1"/>
    <s v="Sydney, New South Wales, Australia"/>
    <s v="Sales"/>
    <s v="Full time"/>
    <x v="167"/>
  </r>
  <r>
    <n v="175"/>
    <x v="1"/>
    <x v="0"/>
    <s v="India"/>
    <s v="Information Technology"/>
    <s v="Full time"/>
    <x v="168"/>
  </r>
  <r>
    <n v="176"/>
    <x v="1"/>
    <x v="2"/>
    <s v="Witney, England, United Kingdom"/>
    <s v="Permanent"/>
    <s v="Full time"/>
    <x v="169"/>
  </r>
  <r>
    <n v="177"/>
    <x v="1"/>
    <x v="1"/>
    <s v="Gurugram, Haryana, India"/>
    <s v="Sales"/>
    <s v="Full time"/>
    <x v="170"/>
  </r>
  <r>
    <n v="178"/>
    <x v="1"/>
    <x v="2"/>
    <s v="Tampa, Florida, United States"/>
    <s v="Client Services"/>
    <s v="Full time"/>
    <x v="171"/>
  </r>
  <r>
    <n v="179"/>
    <x v="1"/>
    <x v="1"/>
    <s v="Wrocław, Lower Silesian Voivodeship, Poland"/>
    <s v="Ryanair Labs Wrocław"/>
    <s v=""/>
    <x v="172"/>
  </r>
  <r>
    <n v="180"/>
    <x v="1"/>
    <x v="0"/>
    <s v="Gurugram, Haryana, India"/>
    <s v="Sales"/>
    <s v="Full time"/>
    <x v="173"/>
  </r>
  <r>
    <n v="181"/>
    <x v="1"/>
    <x v="1"/>
    <s v="Ridgefield Park, New Jersey, United States"/>
    <s v="Cloud Business Division"/>
    <s v="Full time"/>
    <x v="174"/>
  </r>
  <r>
    <n v="182"/>
    <x v="1"/>
    <x v="1"/>
    <s v="Bengaluru, Karnataka, India"/>
    <s v="Engineering"/>
    <s v=""/>
    <x v="175"/>
  </r>
  <r>
    <n v="183"/>
    <x v="1"/>
    <x v="1"/>
    <s v="Dubai, Dubai, United Arab Emirates"/>
    <s v="Corporate"/>
    <s v="Full time"/>
    <x v="176"/>
  </r>
  <r>
    <n v="184"/>
    <x v="1"/>
    <x v="0"/>
    <s v="India"/>
    <s v="Information Technology"/>
    <s v="Full time"/>
    <x v="177"/>
  </r>
  <r>
    <n v="185"/>
    <x v="1"/>
    <x v="2"/>
    <s v="Witney, England, United Kingdom"/>
    <s v="Permanent"/>
    <s v="Full time"/>
    <x v="178"/>
  </r>
  <r>
    <n v="186"/>
    <x v="1"/>
    <x v="1"/>
    <s v="Gurugram, Haryana, India"/>
    <s v="Sales"/>
    <s v="Full time"/>
    <x v="179"/>
  </r>
  <r>
    <n v="187"/>
    <x v="1"/>
    <x v="2"/>
    <s v="Tampa, Florida, United States"/>
    <s v="Client Services"/>
    <s v="Full time"/>
    <x v="180"/>
  </r>
  <r>
    <n v="188"/>
    <x v="1"/>
    <x v="1"/>
    <s v="Wrocław, Lower Silesian Voivodeship, Poland"/>
    <s v="Ryanair Labs Wrocław"/>
    <s v=""/>
    <x v="86"/>
  </r>
  <r>
    <n v="189"/>
    <x v="1"/>
    <x v="0"/>
    <s v="Gurugram, Haryana, India"/>
    <s v="Sales"/>
    <s v="Full time"/>
    <x v="181"/>
  </r>
  <r>
    <n v="190"/>
    <x v="1"/>
    <x v="1"/>
    <s v="Ridgefield Park, New Jersey, United States"/>
    <s v="Cloud Business Division"/>
    <s v="Full time"/>
    <x v="182"/>
  </r>
  <r>
    <n v="191"/>
    <x v="1"/>
    <x v="3"/>
    <s v="Bengaluru, Karnataka, India"/>
    <s v="Engineering"/>
    <s v=""/>
    <x v="183"/>
  </r>
  <r>
    <n v="192"/>
    <x v="1"/>
    <x v="1"/>
    <s v="Dubai, Dubai, United Arab Emirates"/>
    <s v="Corporate"/>
    <s v="Full time"/>
    <x v="184"/>
  </r>
  <r>
    <n v="193"/>
    <x v="1"/>
    <x v="0"/>
    <s v="India"/>
    <s v="Information Technology"/>
    <s v="Full time"/>
    <x v="185"/>
  </r>
  <r>
    <n v="194"/>
    <x v="1"/>
    <x v="2"/>
    <s v="Witney, England, United Kingdom"/>
    <s v="Permanent"/>
    <s v="Full time"/>
    <x v="186"/>
  </r>
  <r>
    <n v="195"/>
    <x v="1"/>
    <x v="1"/>
    <s v="Gurugram, Haryana, India"/>
    <s v="Sales"/>
    <s v="Full time"/>
    <x v="187"/>
  </r>
  <r>
    <n v="196"/>
    <x v="1"/>
    <x v="2"/>
    <s v="Tampa, Florida, United States"/>
    <s v="Client Services"/>
    <s v="Full time"/>
    <x v="188"/>
  </r>
  <r>
    <n v="197"/>
    <x v="1"/>
    <x v="1"/>
    <s v="Wrocław, Lower Silesian Voivodeship, Poland"/>
    <s v="Ryanair Labs Wrocław"/>
    <s v=""/>
    <x v="189"/>
  </r>
  <r>
    <n v="198"/>
    <x v="1"/>
    <x v="0"/>
    <s v="Gurugram, Haryana, India"/>
    <s v="Sales"/>
    <s v="Full time"/>
    <x v="190"/>
  </r>
  <r>
    <n v="199"/>
    <x v="1"/>
    <x v="1"/>
    <s v="Ridgefield Park, New Jersey, United States"/>
    <s v="Cloud Business Division"/>
    <s v="Full time"/>
    <x v="191"/>
  </r>
  <r>
    <n v="200"/>
    <x v="1"/>
    <x v="1"/>
    <s v="Bengaluru, Karnataka, India"/>
    <s v="Engineering"/>
    <s v=""/>
    <x v="192"/>
  </r>
  <r>
    <n v="201"/>
    <x v="1"/>
    <x v="1"/>
    <s v="Dubai, Dubai, United Arab Emirates"/>
    <s v="Corporate"/>
    <s v="Full time"/>
    <x v="193"/>
  </r>
  <r>
    <n v="202"/>
    <x v="1"/>
    <x v="0"/>
    <s v="Dallas, Texas, United States"/>
    <s v=""/>
    <s v="Full time"/>
    <x v="194"/>
  </r>
  <r>
    <n v="203"/>
    <x v="1"/>
    <x v="2"/>
    <s v="San Francisco, California, United States"/>
    <s v="SFW"/>
    <s v="Full time"/>
    <x v="195"/>
  </r>
  <r>
    <n v="204"/>
    <x v="1"/>
    <x v="0"/>
    <s v="Spain"/>
    <s v=""/>
    <s v=""/>
    <x v="196"/>
  </r>
  <r>
    <n v="205"/>
    <x v="1"/>
    <x v="0"/>
    <s v="United Kingdom"/>
    <s v="Sales"/>
    <s v="Full time"/>
    <x v="197"/>
  </r>
  <r>
    <n v="206"/>
    <x v="1"/>
    <x v="0"/>
    <s v="Washington, District of Columbia, United States"/>
    <s v="Digital Services"/>
    <s v="Full time"/>
    <x v="198"/>
  </r>
  <r>
    <n v="207"/>
    <x v="1"/>
    <x v="0"/>
    <s v="New York, New York, United States"/>
    <s v="Engineering"/>
    <s v="Full time"/>
    <x v="199"/>
  </r>
  <r>
    <n v="208"/>
    <x v="1"/>
    <x v="2"/>
    <s v="Bengaluru, Karnataka, India"/>
    <s v="ENG"/>
    <s v="Full time"/>
    <x v="200"/>
  </r>
  <r>
    <n v="209"/>
    <x v="1"/>
    <x v="1"/>
    <s v="Mumbai, Maharashtra, India"/>
    <s v="Market Unit International, MU Int India"/>
    <s v="Full time"/>
    <x v="201"/>
  </r>
  <r>
    <n v="210"/>
    <x v="1"/>
    <x v="0"/>
    <s v="France"/>
    <s v="Customer Success"/>
    <s v="Full time"/>
    <x v="202"/>
  </r>
  <r>
    <n v="211"/>
    <x v="1"/>
    <x v="0"/>
    <s v="United States"/>
    <s v="Engineering"/>
    <s v="Full time"/>
    <x v="203"/>
  </r>
  <r>
    <n v="212"/>
    <x v="1"/>
    <x v="0"/>
    <s v="United States"/>
    <s v="Customer Success"/>
    <s v="Full time"/>
    <x v="204"/>
  </r>
  <r>
    <n v="213"/>
    <x v="1"/>
    <x v="0"/>
    <s v=""/>
    <s v="Localization"/>
    <s v="Other"/>
    <x v="205"/>
  </r>
  <r>
    <n v="214"/>
    <x v="1"/>
    <x v="0"/>
    <s v="Brussels, Brussels, Belgium"/>
    <s v="DELIV4"/>
    <s v=""/>
    <x v="206"/>
  </r>
  <r>
    <n v="215"/>
    <x v="1"/>
    <x v="0"/>
    <s v="Cambridge, England, United Kingdom"/>
    <s v="Product and Engineering"/>
    <s v="Full time"/>
    <x v="207"/>
  </r>
  <r>
    <n v="216"/>
    <x v="1"/>
    <x v="0"/>
    <s v="Chicago, Illinois, United States"/>
    <s v="Analytics"/>
    <s v="Full time"/>
    <x v="80"/>
  </r>
  <r>
    <n v="217"/>
    <x v="1"/>
    <x v="1"/>
    <s v="Sofia, Sofia City Province, Bulgaria"/>
    <s v="NetNation"/>
    <s v="Full time"/>
    <x v="208"/>
  </r>
  <r>
    <n v="218"/>
    <x v="1"/>
    <x v="1"/>
    <s v="Kathmandu, Central Development Region, Nepal"/>
    <s v=""/>
    <s v=""/>
    <x v="209"/>
  </r>
  <r>
    <n v="219"/>
    <x v="1"/>
    <x v="0"/>
    <s v="Spain"/>
    <s v="UNIT 4"/>
    <s v="Full time"/>
    <x v="210"/>
  </r>
  <r>
    <n v="220"/>
    <x v="1"/>
    <x v="0"/>
    <s v="Germany"/>
    <s v="Customer Success"/>
    <s v="Full time"/>
    <x v="211"/>
  </r>
  <r>
    <n v="221"/>
    <x v="1"/>
    <x v="2"/>
    <s v="Athens, Attica, Greece"/>
    <s v=""/>
    <s v="Full time"/>
    <x v="212"/>
  </r>
  <r>
    <n v="222"/>
    <x v="1"/>
    <x v="0"/>
    <s v="Tangier, Tangier-Tétouan-Al Hoceima, Morocco"/>
    <s v="🔵"/>
    <s v="Full time"/>
    <x v="213"/>
  </r>
  <r>
    <n v="223"/>
    <x v="1"/>
    <x v="1"/>
    <s v="Cebu City, Central Visayas, Philippines"/>
    <s v=""/>
    <s v="Full time"/>
    <x v="214"/>
  </r>
  <r>
    <n v="224"/>
    <x v="1"/>
    <x v="1"/>
    <s v="Gurugram, Haryana, India"/>
    <s v="Game Testing"/>
    <s v="Full time"/>
    <x v="215"/>
  </r>
  <r>
    <n v="225"/>
    <x v="1"/>
    <x v="2"/>
    <s v="Shibuya, Tokyo, Japan"/>
    <s v="Engineering"/>
    <s v="Full time"/>
    <x v="216"/>
  </r>
  <r>
    <n v="226"/>
    <x v="1"/>
    <x v="2"/>
    <s v="London, England, United Kingdom"/>
    <s v="Technology &amp; Data"/>
    <s v="Full time"/>
    <x v="217"/>
  </r>
  <r>
    <n v="227"/>
    <x v="1"/>
    <x v="1"/>
    <s v="Gurugram, Haryana, India"/>
    <s v="Sales"/>
    <s v="Full time"/>
    <x v="218"/>
  </r>
  <r>
    <n v="228"/>
    <x v="1"/>
    <x v="1"/>
    <s v="Leawood, Kansas, United States"/>
    <s v="epay"/>
    <s v="Full time"/>
    <x v="219"/>
  </r>
  <r>
    <n v="229"/>
    <x v="1"/>
    <x v="0"/>
    <s v="Paris, Île-de-France, France"/>
    <s v="Data Science"/>
    <s v="Full time"/>
    <x v="220"/>
  </r>
  <r>
    <n v="230"/>
    <x v="1"/>
    <x v="0"/>
    <s v="United States"/>
    <s v="United States (US)"/>
    <s v="Contract"/>
    <x v="221"/>
  </r>
  <r>
    <n v="231"/>
    <x v="1"/>
    <x v="1"/>
    <s v="Seoul, Seoul, Korea, Republic of"/>
    <s v="Research"/>
    <s v="Full time"/>
    <x v="222"/>
  </r>
  <r>
    <n v="232"/>
    <x v="1"/>
    <x v="1"/>
    <s v="Al-Dajeej, Al Farwaniyah Governorate, Kuwait"/>
    <s v="PWC Technologies"/>
    <s v="Full time"/>
    <x v="223"/>
  </r>
  <r>
    <n v="233"/>
    <x v="1"/>
    <x v="0"/>
    <s v="Canada"/>
    <s v="Technology"/>
    <s v="Full time"/>
    <x v="224"/>
  </r>
  <r>
    <n v="234"/>
    <x v="1"/>
    <x v="1"/>
    <s v="Gurugram, Haryana, India"/>
    <s v="Qoala - Indonesia, Engineering, Core Engineering"/>
    <s v="Full time"/>
    <x v="225"/>
  </r>
  <r>
    <n v="235"/>
    <x v="1"/>
    <x v="1"/>
    <s v="Sacramento, California, United States"/>
    <s v="ITPM"/>
    <s v="Full time"/>
    <x v="226"/>
  </r>
  <r>
    <n v="236"/>
    <x v="1"/>
    <x v="1"/>
    <s v="Gurugram, Haryana, India"/>
    <s v="Sales"/>
    <s v="Full time"/>
    <x v="227"/>
  </r>
  <r>
    <n v="237"/>
    <x v="1"/>
    <x v="1"/>
    <s v="Leawood, Kansas, United States"/>
    <s v="epay"/>
    <s v="Full time"/>
    <x v="228"/>
  </r>
  <r>
    <n v="238"/>
    <x v="1"/>
    <x v="0"/>
    <s v="Paris, Île-de-France, France"/>
    <s v="Data Science"/>
    <s v="Full time"/>
    <x v="229"/>
  </r>
  <r>
    <n v="239"/>
    <x v="1"/>
    <x v="0"/>
    <s v="United States"/>
    <s v="United States (US)"/>
    <s v="Contract"/>
    <x v="230"/>
  </r>
  <r>
    <n v="240"/>
    <x v="1"/>
    <x v="1"/>
    <s v="Seoul, Seoul, Korea, Republic of"/>
    <s v="Research"/>
    <s v="Full time"/>
    <x v="231"/>
  </r>
  <r>
    <n v="241"/>
    <x v="1"/>
    <x v="1"/>
    <s v="Al-Dajeej, Al Farwaniyah Governorate, Kuwait"/>
    <s v="PWC Technologies"/>
    <s v="Full time"/>
    <x v="232"/>
  </r>
  <r>
    <n v="242"/>
    <x v="1"/>
    <x v="0"/>
    <s v="Canada"/>
    <s v="Technology"/>
    <s v="Full time"/>
    <x v="233"/>
  </r>
  <r>
    <n v="243"/>
    <x v="1"/>
    <x v="1"/>
    <s v="Gurugram, Haryana, India"/>
    <s v="Qoala - Indonesia, Engineering, Core Engineering"/>
    <s v="Full time"/>
    <x v="147"/>
  </r>
  <r>
    <n v="244"/>
    <x v="1"/>
    <x v="1"/>
    <s v="Sacramento, California, United States"/>
    <s v="ITPM"/>
    <s v="Full time"/>
    <x v="234"/>
  </r>
  <r>
    <n v="245"/>
    <x v="1"/>
    <x v="0"/>
    <s v="Greece"/>
    <s v="Product"/>
    <s v="Full time"/>
    <x v="235"/>
  </r>
  <r>
    <n v="246"/>
    <x v="1"/>
    <x v="0"/>
    <s v="Makati, Metro Manila, Philippines"/>
    <s v="Fulfilment"/>
    <s v="Full time"/>
    <x v="236"/>
  </r>
  <r>
    <n v="247"/>
    <x v="1"/>
    <x v="1"/>
    <s v="Pune, Maharashtra, India"/>
    <s v="Quality Assurance &amp; Test Engineering"/>
    <s v="Full time"/>
    <x v="237"/>
  </r>
  <r>
    <n v="248"/>
    <x v="1"/>
    <x v="2"/>
    <s v="Athens, Attica, Greece"/>
    <s v="Service Desk"/>
    <s v="Full time"/>
    <x v="238"/>
  </r>
  <r>
    <n v="249"/>
    <x v="1"/>
    <x v="0"/>
    <s v="Spain"/>
    <s v="UNIT 3"/>
    <s v="Full time"/>
    <x v="239"/>
  </r>
  <r>
    <n v="250"/>
    <x v="1"/>
    <x v="2"/>
    <s v="Mandaluyong, Metro Manila, Philippines"/>
    <s v="IT Development"/>
    <s v=""/>
    <x v="240"/>
  </r>
  <r>
    <n v="251"/>
    <x v="1"/>
    <x v="1"/>
    <s v="Amman, Amman Governorate, Jordan"/>
    <s v=""/>
    <s v="Full time"/>
    <x v="241"/>
  </r>
  <r>
    <n v="252"/>
    <x v="1"/>
    <x v="2"/>
    <s v="Bangalore, Karnataka, India"/>
    <s v="ENG"/>
    <s v="Full time"/>
    <x v="242"/>
  </r>
  <r>
    <n v="253"/>
    <x v="1"/>
    <x v="2"/>
    <s v="London, England, United Kingdom"/>
    <s v="Technology"/>
    <s v="Full time"/>
    <x v="214"/>
  </r>
  <r>
    <n v="254"/>
    <x v="1"/>
    <x v="1"/>
    <s v="Dublin, County Dublin, Ireland"/>
    <s v="Technology"/>
    <s v="Full time"/>
    <x v="243"/>
  </r>
  <r>
    <n v="255"/>
    <x v="1"/>
    <x v="3"/>
    <s v="Singapore, Singapore, Singapore"/>
    <s v="Operations MY/AU"/>
    <s v="Contract"/>
    <x v="244"/>
  </r>
  <r>
    <n v="256"/>
    <x v="1"/>
    <x v="1"/>
    <s v="Seoul, Seoul, Korea, Republic of"/>
    <s v="Research"/>
    <s v="Full time"/>
    <x v="245"/>
  </r>
  <r>
    <n v="257"/>
    <x v="1"/>
    <x v="2"/>
    <s v="Mandaluyong, Metro Manila, Philippines"/>
    <s v="IT Development"/>
    <s v=""/>
    <x v="183"/>
  </r>
  <r>
    <n v="258"/>
    <x v="1"/>
    <x v="0"/>
    <s v="United States"/>
    <s v="Sales"/>
    <s v="Full time"/>
    <x v="246"/>
  </r>
  <r>
    <n v="259"/>
    <x v="1"/>
    <x v="0"/>
    <s v="Palo Alto, California, United States"/>
    <s v="Infrastructure"/>
    <s v="Full time"/>
    <x v="247"/>
  </r>
  <r>
    <n v="260"/>
    <x v="1"/>
    <x v="1"/>
    <s v="Los Angeles, California, United States"/>
    <s v=""/>
    <s v=""/>
    <x v="248"/>
  </r>
  <r>
    <n v="261"/>
    <x v="1"/>
    <x v="0"/>
    <s v="Oxford, England, United Kingdom"/>
    <s v="Technology"/>
    <s v="Full time"/>
    <x v="249"/>
  </r>
  <r>
    <n v="262"/>
    <x v="1"/>
    <x v="1"/>
    <s v="Bengaluru, Karnataka, India"/>
    <s v="Global"/>
    <s v="Full time"/>
    <x v="241"/>
  </r>
  <r>
    <n v="263"/>
    <x v="1"/>
    <x v="0"/>
    <s v="United States"/>
    <s v="Engineering"/>
    <s v="Full time"/>
    <x v="250"/>
  </r>
  <r>
    <n v="264"/>
    <x v="1"/>
    <x v="0"/>
    <s v="United States"/>
    <s v="G &amp; A"/>
    <s v="Full time"/>
    <x v="251"/>
  </r>
  <r>
    <n v="265"/>
    <x v="1"/>
    <x v="0"/>
    <s v="United States"/>
    <s v="Marketing"/>
    <s v="Full time"/>
    <x v="252"/>
  </r>
  <r>
    <n v="266"/>
    <x v="1"/>
    <x v="0"/>
    <s v="Brooklyn, New York, United States"/>
    <s v="Product &amp; Technology"/>
    <s v="Full time"/>
    <x v="253"/>
  </r>
  <r>
    <n v="267"/>
    <x v="1"/>
    <x v="1"/>
    <s v="London, England, United Kingdom"/>
    <s v=""/>
    <s v="Full time"/>
    <x v="254"/>
  </r>
  <r>
    <n v="268"/>
    <x v="1"/>
    <x v="2"/>
    <s v="Bengaluru, Karnataka, India"/>
    <s v="ENG"/>
    <s v="Full time"/>
    <x v="255"/>
  </r>
  <r>
    <n v="269"/>
    <x v="1"/>
    <x v="2"/>
    <s v="Bengaluru, Karnataka, India"/>
    <s v="DevSecOps"/>
    <s v="Full time"/>
    <x v="256"/>
  </r>
  <r>
    <n v="270"/>
    <x v="1"/>
    <x v="0"/>
    <s v="Arlington, Virginia, United States"/>
    <s v="Data Analytics &amp; Research"/>
    <s v="Full time"/>
    <x v="184"/>
  </r>
  <r>
    <n v="271"/>
    <x v="1"/>
    <x v="2"/>
    <s v="Dubai, Dubai, United Arab Emirates"/>
    <s v="Management"/>
    <s v="Full time"/>
    <x v="6"/>
  </r>
  <r>
    <n v="272"/>
    <x v="1"/>
    <x v="0"/>
    <s v="Brazil"/>
    <s v=""/>
    <s v="Full time"/>
    <x v="257"/>
  </r>
  <r>
    <n v="273"/>
    <x v="1"/>
    <x v="1"/>
    <s v="Newcastle, New South Wales, Australia"/>
    <s v=""/>
    <s v=""/>
    <x v="258"/>
  </r>
  <r>
    <n v="274"/>
    <x v="1"/>
    <x v="1"/>
    <s v="Ghent, Flanders, Belgium"/>
    <s v="Job offer"/>
    <s v=""/>
    <x v="259"/>
  </r>
  <r>
    <n v="275"/>
    <x v="1"/>
    <x v="3"/>
    <s v=""/>
    <s v=""/>
    <s v=""/>
    <x v="260"/>
  </r>
  <r>
    <n v="276"/>
    <x v="1"/>
    <x v="0"/>
    <s v="Boston, Massachusetts, United States"/>
    <s v="Commercial"/>
    <s v="Full time"/>
    <x v="261"/>
  </r>
  <r>
    <n v="277"/>
    <x v="1"/>
    <x v="0"/>
    <s v="San Francisco, California, United States"/>
    <s v="Customer Success"/>
    <s v="Full time"/>
    <x v="262"/>
  </r>
  <r>
    <n v="278"/>
    <x v="1"/>
    <x v="1"/>
    <s v="Mumbai, Maharashtra, India"/>
    <s v="Market Unit International, MU Int India"/>
    <s v="Full time"/>
    <x v="263"/>
  </r>
  <r>
    <n v="279"/>
    <x v="1"/>
    <x v="0"/>
    <s v="Mandaluyong, Metro Manila, Philippines"/>
    <s v="IT Development"/>
    <s v="Full time"/>
    <x v="264"/>
  </r>
  <r>
    <n v="280"/>
    <x v="1"/>
    <x v="0"/>
    <s v="Minato City, Tokyo, Japan"/>
    <s v="Mercari"/>
    <s v="Full time"/>
    <x v="265"/>
  </r>
  <r>
    <n v="281"/>
    <x v="1"/>
    <x v="1"/>
    <s v="London, England, United Kingdom"/>
    <s v="Product &amp; Tech, Core Engineering, Site Reliability Engineering"/>
    <s v=""/>
    <x v="266"/>
  </r>
  <r>
    <n v="282"/>
    <x v="1"/>
    <x v="0"/>
    <s v="United Kingdom"/>
    <s v="Managed Services"/>
    <s v="Full time"/>
    <x v="126"/>
  </r>
  <r>
    <n v="283"/>
    <x v="1"/>
    <x v="2"/>
    <s v="Toronto, Ontario, Canada"/>
    <s v="Technology"/>
    <s v="Full time"/>
    <x v="267"/>
  </r>
  <r>
    <n v="284"/>
    <x v="1"/>
    <x v="0"/>
    <s v=""/>
    <s v="CLIENT-BASED"/>
    <s v="Full time"/>
    <x v="268"/>
  </r>
  <r>
    <n v="285"/>
    <x v="1"/>
    <x v="2"/>
    <s v="London, England, United Kingdom"/>
    <s v="Technology"/>
    <s v="Full time"/>
    <x v="269"/>
  </r>
  <r>
    <n v="286"/>
    <x v="1"/>
    <x v="2"/>
    <s v="Gurugram, Haryana, India"/>
    <s v="Engineering"/>
    <s v="Full time"/>
    <x v="270"/>
  </r>
  <r>
    <n v="287"/>
    <x v="1"/>
    <x v="0"/>
    <s v=""/>
    <s v="QA"/>
    <s v=""/>
    <x v="271"/>
  </r>
  <r>
    <n v="288"/>
    <x v="1"/>
    <x v="1"/>
    <s v="Liverpool, England, United Kingdom"/>
    <s v="Jessica"/>
    <s v="Full time"/>
    <x v="272"/>
  </r>
  <r>
    <n v="289"/>
    <x v="1"/>
    <x v="3"/>
    <s v=""/>
    <s v=""/>
    <s v=""/>
    <x v="273"/>
  </r>
  <r>
    <n v="290"/>
    <x v="1"/>
    <x v="3"/>
    <s v=""/>
    <s v=""/>
    <s v=""/>
    <x v="274"/>
  </r>
  <r>
    <n v="291"/>
    <x v="1"/>
    <x v="3"/>
    <s v=""/>
    <s v=""/>
    <s v=""/>
    <x v="275"/>
  </r>
  <r>
    <n v="292"/>
    <x v="1"/>
    <x v="3"/>
    <s v="Mandaluyong, Metro Manila, Philippines"/>
    <s v="IT Development"/>
    <s v=""/>
    <x v="276"/>
  </r>
  <r>
    <n v="293"/>
    <x v="1"/>
    <x v="2"/>
    <s v="Berchem, Antwerp, Belgium"/>
    <s v="Engineering"/>
    <s v="Other"/>
    <x v="277"/>
  </r>
  <r>
    <n v="294"/>
    <x v="1"/>
    <x v="0"/>
    <s v="United Kingdom"/>
    <s v="Engineering"/>
    <s v="Full time"/>
    <x v="278"/>
  </r>
  <r>
    <n v="295"/>
    <x v="1"/>
    <x v="2"/>
    <s v="Pasig, Metro Manila, Philippines"/>
    <s v="Corporate"/>
    <s v="Full time"/>
    <x v="279"/>
  </r>
  <r>
    <n v="296"/>
    <x v="1"/>
    <x v="0"/>
    <s v="Hyderabad, Telangana, India"/>
    <s v="Data Engineering"/>
    <s v=""/>
    <x v="280"/>
  </r>
  <r>
    <n v="297"/>
    <x v="1"/>
    <x v="0"/>
    <s v="Miami, Florida, United States"/>
    <s v="Engineering"/>
    <s v="Full time"/>
    <x v="281"/>
  </r>
  <r>
    <n v="298"/>
    <x v="1"/>
    <x v="1"/>
    <s v="Athens, Attica, Greece"/>
    <s v=""/>
    <s v="Full time"/>
    <x v="282"/>
  </r>
  <r>
    <n v="299"/>
    <x v="1"/>
    <x v="1"/>
    <s v="Riyadh, Riyadh Province, Saudi Arabia"/>
    <s v="Bayut KSA, Internal Audit &amp; Compliance"/>
    <s v=""/>
    <x v="283"/>
  </r>
  <r>
    <n v="300"/>
    <x v="1"/>
    <x v="0"/>
    <s v="New York, New York, United States"/>
    <s v="Technology Division"/>
    <s v="Full time"/>
    <x v="284"/>
  </r>
  <r>
    <n v="301"/>
    <x v="1"/>
    <x v="1"/>
    <s v="Bengaluru, Karnataka, India"/>
    <s v="UX Team"/>
    <s v="Full time"/>
    <x v="285"/>
  </r>
  <r>
    <n v="302"/>
    <x v="1"/>
    <x v="1"/>
    <s v="New York, New York, United States"/>
    <s v="Corporate"/>
    <s v="Full time"/>
    <x v="286"/>
  </r>
  <r>
    <n v="303"/>
    <x v="1"/>
    <x v="3"/>
    <s v="London, England, United Kingdom"/>
    <s v="Data &amp; Analytics"/>
    <s v="Full time"/>
    <x v="287"/>
  </r>
  <r>
    <n v="304"/>
    <x v="1"/>
    <x v="1"/>
    <s v="Tel Aviv-Yafo, Tel Aviv District, Israel"/>
    <s v="R&amp;D"/>
    <s v="Full time"/>
    <x v="288"/>
  </r>
  <r>
    <n v="305"/>
    <x v="1"/>
    <x v="1"/>
    <s v="Aiea, Hawaii, United States"/>
    <s v="Mission Support"/>
    <s v="Full time"/>
    <x v="289"/>
  </r>
  <r>
    <n v="306"/>
    <x v="1"/>
    <x v="0"/>
    <s v="Hyderabad, Telangana, India"/>
    <s v="Data Engineering"/>
    <s v=""/>
    <x v="290"/>
  </r>
  <r>
    <n v="307"/>
    <x v="1"/>
    <x v="0"/>
    <s v="Miami, Florida, United States"/>
    <s v="Engineering"/>
    <s v="Full time"/>
    <x v="291"/>
  </r>
  <r>
    <n v="308"/>
    <x v="1"/>
    <x v="1"/>
    <s v="Athens, Attica, Greece"/>
    <s v=""/>
    <s v="Full time"/>
    <x v="292"/>
  </r>
  <r>
    <n v="309"/>
    <x v="1"/>
    <x v="1"/>
    <s v="Riyadh, Riyadh Province, Saudi Arabia"/>
    <s v="Bayut KSA, Internal Audit &amp; Compliance"/>
    <s v=""/>
    <x v="293"/>
  </r>
  <r>
    <n v="310"/>
    <x v="1"/>
    <x v="0"/>
    <s v="New York, New York, United States"/>
    <s v="Technology Division"/>
    <s v="Full time"/>
    <x v="294"/>
  </r>
  <r>
    <n v="311"/>
    <x v="1"/>
    <x v="3"/>
    <s v=""/>
    <s v=""/>
    <s v=""/>
    <x v="295"/>
  </r>
  <r>
    <n v="312"/>
    <x v="1"/>
    <x v="1"/>
    <s v="New York, New York, United States"/>
    <s v="Corporate"/>
    <s v="Full time"/>
    <x v="296"/>
  </r>
  <r>
    <n v="313"/>
    <x v="1"/>
    <x v="2"/>
    <s v="London, England, United Kingdom"/>
    <s v="Data &amp; Analytics"/>
    <s v="Full time"/>
    <x v="297"/>
  </r>
  <r>
    <n v="314"/>
    <x v="1"/>
    <x v="1"/>
    <s v="Tel Aviv-Yafo, Tel Aviv District, Israel"/>
    <s v="R&amp;D"/>
    <s v="Full time"/>
    <x v="298"/>
  </r>
  <r>
    <n v="315"/>
    <x v="1"/>
    <x v="1"/>
    <s v="Aiea, Hawaii, United States"/>
    <s v="Mission Support"/>
    <s v="Full time"/>
    <x v="299"/>
  </r>
  <r>
    <n v="316"/>
    <x v="1"/>
    <x v="1"/>
    <s v="Ahmedabad, Gujarat, India"/>
    <s v="Operations"/>
    <s v="Full time"/>
    <x v="300"/>
  </r>
  <r>
    <n v="317"/>
    <x v="1"/>
    <x v="1"/>
    <s v="Tel Aviv-Yafo, Tel Aviv District, Israel"/>
    <s v="R&amp;D"/>
    <s v="Full time"/>
    <x v="301"/>
  </r>
  <r>
    <n v="318"/>
    <x v="1"/>
    <x v="0"/>
    <s v="Switzerland"/>
    <s v=""/>
    <s v=""/>
    <x v="302"/>
  </r>
  <r>
    <n v="319"/>
    <x v="1"/>
    <x v="0"/>
    <s v="United States"/>
    <s v="Media &amp; Entertainment"/>
    <s v="Contract"/>
    <x v="303"/>
  </r>
  <r>
    <n v="320"/>
    <x v="1"/>
    <x v="0"/>
    <s v="Mandaluyong, Metro Manila, Philippines"/>
    <s v="IT Development"/>
    <s v="Full time"/>
    <x v="304"/>
  </r>
  <r>
    <n v="321"/>
    <x v="1"/>
    <x v="0"/>
    <s v="United Kingdom"/>
    <s v="UK"/>
    <s v="Full time"/>
    <x v="305"/>
  </r>
  <r>
    <n v="322"/>
    <x v="1"/>
    <x v="2"/>
    <s v="Kathmandu, Bagmati Province, Nepal"/>
    <s v="Engineering"/>
    <s v="Full time"/>
    <x v="306"/>
  </r>
  <r>
    <n v="323"/>
    <x v="1"/>
    <x v="0"/>
    <s v="Malmö, Skåne County, Sweden"/>
    <s v=""/>
    <s v="Full time"/>
    <x v="307"/>
  </r>
  <r>
    <n v="324"/>
    <x v="1"/>
    <x v="0"/>
    <s v="Coimbra, Coimbra District, Portugal"/>
    <s v="Engineering"/>
    <s v="Full time"/>
    <x v="308"/>
  </r>
  <r>
    <n v="325"/>
    <x v="1"/>
    <x v="2"/>
    <s v="London, England, United Kingdom"/>
    <s v="Engineering"/>
    <s v="Full time"/>
    <x v="309"/>
  </r>
  <r>
    <n v="326"/>
    <x v="1"/>
    <x v="2"/>
    <s v="Kuala Lumpur, Federal Territory of Kuala Lumpur, Malaysia"/>
    <s v="Finance"/>
    <s v="Full time"/>
    <x v="310"/>
  </r>
  <r>
    <n v="327"/>
    <x v="1"/>
    <x v="2"/>
    <s v="San Francisco, California, United States"/>
    <s v=""/>
    <s v="Full time"/>
    <x v="311"/>
  </r>
  <r>
    <n v="328"/>
    <x v="1"/>
    <x v="0"/>
    <s v="Tampa, Florida, United States"/>
    <s v="Information Technology"/>
    <s v="Full time"/>
    <x v="312"/>
  </r>
  <r>
    <n v="329"/>
    <x v="1"/>
    <x v="2"/>
    <s v="Alpharetta, Georgia, United States"/>
    <s v="R&amp;D"/>
    <s v="Full time"/>
    <x v="313"/>
  </r>
  <r>
    <n v="330"/>
    <x v="1"/>
    <x v="0"/>
    <s v="Toronto, Ontario, Canada"/>
    <s v=""/>
    <s v="Full time"/>
    <x v="314"/>
  </r>
  <r>
    <n v="331"/>
    <x v="1"/>
    <x v="1"/>
    <s v="Bangkok, Bangkok, Thailand"/>
    <s v="Data Engineer"/>
    <s v="Full time"/>
    <x v="315"/>
  </r>
  <r>
    <n v="332"/>
    <x v="1"/>
    <x v="0"/>
    <s v="South Jakarta, South Jakarta City, Indonesia"/>
    <s v="Technology"/>
    <s v="Full time"/>
    <x v="316"/>
  </r>
  <r>
    <n v="333"/>
    <x v="1"/>
    <x v="2"/>
    <s v="Bengaluru, Karnataka, India"/>
    <s v="DevSecOps"/>
    <s v="Full time"/>
    <x v="317"/>
  </r>
  <r>
    <n v="334"/>
    <x v="1"/>
    <x v="0"/>
    <s v="Wrocław, Lower Silesian Voivodeship, Poland"/>
    <s v=""/>
    <s v="Full time"/>
    <x v="318"/>
  </r>
  <r>
    <n v="335"/>
    <x v="1"/>
    <x v="1"/>
    <s v=""/>
    <s v=""/>
    <s v=""/>
    <x v="319"/>
  </r>
  <r>
    <n v="336"/>
    <x v="1"/>
    <x v="1"/>
    <s v="Gurugram, Haryana, India"/>
    <s v="Information Technology"/>
    <s v="Full time"/>
    <x v="320"/>
  </r>
  <r>
    <n v="337"/>
    <x v="1"/>
    <x v="1"/>
    <s v="İstanbul, İstanbul, Turkey"/>
    <s v="Development"/>
    <s v="Full time"/>
    <x v="59"/>
  </r>
  <r>
    <n v="338"/>
    <x v="1"/>
    <x v="2"/>
    <s v="Witney, England, United Kingdom"/>
    <s v="Permanent"/>
    <s v="Full time"/>
    <x v="321"/>
  </r>
  <r>
    <n v="339"/>
    <x v="1"/>
    <x v="1"/>
    <s v="Heidelberg, Baden-Württemberg, Germany"/>
    <s v=""/>
    <s v="Full time"/>
    <x v="322"/>
  </r>
  <r>
    <n v="340"/>
    <x v="1"/>
    <x v="0"/>
    <s v="Houston, Texas, United States"/>
    <s v=""/>
    <s v="Contract"/>
    <x v="323"/>
  </r>
  <r>
    <n v="341"/>
    <x v="1"/>
    <x v="2"/>
    <s v="Reading, England, United Kingdom"/>
    <s v="BizApps"/>
    <s v="Full time"/>
    <x v="324"/>
  </r>
  <r>
    <n v="342"/>
    <x v="1"/>
    <x v="1"/>
    <s v="Jordan"/>
    <s v=""/>
    <s v=""/>
    <x v="325"/>
  </r>
  <r>
    <n v="343"/>
    <x v="1"/>
    <x v="0"/>
    <s v="Dallas, Texas, United States"/>
    <s v=""/>
    <s v="Full time"/>
    <x v="326"/>
  </r>
  <r>
    <n v="344"/>
    <x v="1"/>
    <x v="3"/>
    <s v="Lakewood, New Jersey, United States"/>
    <s v="Engineering, Software Development"/>
    <s v="Full time"/>
    <x v="327"/>
  </r>
  <r>
    <n v="345"/>
    <x v="2"/>
    <x v="2"/>
    <s v="Bengaluru, Karnataka, India"/>
    <s v="Product"/>
    <s v="Full time"/>
    <x v="328"/>
  </r>
  <r>
    <n v="346"/>
    <x v="2"/>
    <x v="2"/>
    <s v="Bengaluru, Karnataka, India"/>
    <s v="Product"/>
    <s v="Full time"/>
    <x v="329"/>
  </r>
  <r>
    <n v="347"/>
    <x v="2"/>
    <x v="1"/>
    <s v="Gurugram, Haryana, India"/>
    <s v="Research"/>
    <s v="Full time"/>
    <x v="330"/>
  </r>
  <r>
    <n v="348"/>
    <x v="2"/>
    <x v="0"/>
    <s v="Brazil"/>
    <s v=""/>
    <s v="Full time"/>
    <x v="331"/>
  </r>
  <r>
    <n v="349"/>
    <x v="2"/>
    <x v="1"/>
    <s v="Brussels, Brussels, Belgium"/>
    <s v="Data Science"/>
    <s v="Full time"/>
    <x v="332"/>
  </r>
  <r>
    <n v="350"/>
    <x v="2"/>
    <x v="1"/>
    <s v="Dubai, Dubai, United Arab Emirates"/>
    <s v="Data Solutions"/>
    <s v="Full time"/>
    <x v="333"/>
  </r>
  <r>
    <n v="351"/>
    <x v="2"/>
    <x v="0"/>
    <s v="Greece"/>
    <s v="Information Technology"/>
    <s v="Full time"/>
    <x v="334"/>
  </r>
  <r>
    <n v="352"/>
    <x v="2"/>
    <x v="3"/>
    <s v=""/>
    <s v=""/>
    <s v=""/>
    <x v="335"/>
  </r>
  <r>
    <n v="353"/>
    <x v="2"/>
    <x v="0"/>
    <s v="Delhi, Delhi, India"/>
    <s v="HR"/>
    <s v="Full time"/>
    <x v="336"/>
  </r>
  <r>
    <n v="354"/>
    <x v="2"/>
    <x v="0"/>
    <s v=""/>
    <s v="Data Analytics &amp; Research"/>
    <s v="Full time"/>
    <x v="337"/>
  </r>
  <r>
    <n v="355"/>
    <x v="2"/>
    <x v="2"/>
    <s v="Bengaluru, Karnataka, India"/>
    <s v="Product"/>
    <s v="Full time"/>
    <x v="338"/>
  </r>
  <r>
    <n v="356"/>
    <x v="2"/>
    <x v="2"/>
    <s v="Bengaluru, Karnataka, India"/>
    <s v="Product"/>
    <s v="Full time"/>
    <x v="339"/>
  </r>
  <r>
    <n v="357"/>
    <x v="2"/>
    <x v="1"/>
    <s v="Gurugram, Haryana, India"/>
    <s v="Research"/>
    <s v="Full time"/>
    <x v="340"/>
  </r>
  <r>
    <n v="358"/>
    <x v="2"/>
    <x v="1"/>
    <s v="Brussels, Brussels, Belgium"/>
    <s v="Data Science"/>
    <s v="Full time"/>
    <x v="341"/>
  </r>
  <r>
    <n v="359"/>
    <x v="2"/>
    <x v="0"/>
    <s v="Brazil"/>
    <s v=""/>
    <s v="Full time"/>
    <x v="342"/>
  </r>
  <r>
    <n v="360"/>
    <x v="2"/>
    <x v="1"/>
    <s v="Brussels, Brussels, Belgium"/>
    <s v="Data Science"/>
    <s v="Full time"/>
    <x v="343"/>
  </r>
  <r>
    <n v="361"/>
    <x v="2"/>
    <x v="1"/>
    <s v="Dubai, Dubai, United Arab Emirates"/>
    <s v="Data Solutions"/>
    <s v="Full time"/>
    <x v="344"/>
  </r>
  <r>
    <n v="362"/>
    <x v="2"/>
    <x v="0"/>
    <s v="Greece"/>
    <s v="Information Technology"/>
    <s v="Full time"/>
    <x v="345"/>
  </r>
  <r>
    <n v="363"/>
    <x v="2"/>
    <x v="0"/>
    <s v="Delhi, Delhi, India"/>
    <s v="HR"/>
    <s v="Full time"/>
    <x v="321"/>
  </r>
  <r>
    <n v="364"/>
    <x v="2"/>
    <x v="1"/>
    <s v=""/>
    <s v=""/>
    <s v="Full time"/>
    <x v="346"/>
  </r>
  <r>
    <n v="365"/>
    <x v="2"/>
    <x v="3"/>
    <s v=""/>
    <s v=""/>
    <s v=""/>
    <x v="347"/>
  </r>
  <r>
    <n v="366"/>
    <x v="2"/>
    <x v="2"/>
    <s v="Bengaluru, Karnataka, India"/>
    <s v="Product"/>
    <s v="Full time"/>
    <x v="348"/>
  </r>
  <r>
    <n v="367"/>
    <x v="2"/>
    <x v="1"/>
    <s v="Boulder, Colorado, United States"/>
    <s v="Business Operations"/>
    <s v="Full time"/>
    <x v="349"/>
  </r>
  <r>
    <n v="368"/>
    <x v="2"/>
    <x v="1"/>
    <s v="Melbourne, Victoria, Australia"/>
    <s v="QR_AU - Engineering Services"/>
    <s v="Full time"/>
    <x v="350"/>
  </r>
  <r>
    <n v="369"/>
    <x v="2"/>
    <x v="1"/>
    <s v="Gurugram, Haryana, India"/>
    <s v="Information Technology"/>
    <s v="Full time"/>
    <x v="351"/>
  </r>
  <r>
    <n v="370"/>
    <x v="2"/>
    <x v="1"/>
    <s v="Cairo, Cairo Governorate, Egypt"/>
    <s v="Finance"/>
    <s v="Full time"/>
    <x v="352"/>
  </r>
  <r>
    <n v="371"/>
    <x v="2"/>
    <x v="0"/>
    <s v="Jakarta, Jakarta, Indonesia"/>
    <s v="Data"/>
    <s v="Full time"/>
    <x v="353"/>
  </r>
  <r>
    <n v="372"/>
    <x v="2"/>
    <x v="1"/>
    <s v="Jeddah, Makkah Province, Saudi Arabia"/>
    <s v="Data and Analytics"/>
    <s v="Full time"/>
    <x v="354"/>
  </r>
  <r>
    <n v="373"/>
    <x v="2"/>
    <x v="1"/>
    <s v="Stamford, Connecticut, United States"/>
    <s v="Research"/>
    <s v="Full time"/>
    <x v="355"/>
  </r>
  <r>
    <n v="374"/>
    <x v="2"/>
    <x v="2"/>
    <s v="London, England, United Kingdom"/>
    <s v="Business Operations, Analytics &amp; Data Science"/>
    <s v="Full time"/>
    <x v="356"/>
  </r>
  <r>
    <n v="375"/>
    <x v="2"/>
    <x v="1"/>
    <s v="Taipei, Taipei City, Taiwan"/>
    <s v=""/>
    <s v="Full time"/>
    <x v="357"/>
  </r>
  <r>
    <n v="376"/>
    <x v="2"/>
    <x v="0"/>
    <s v="Arlington, Virginia, United States"/>
    <s v="Data Analytics &amp; Research"/>
    <s v="Full time"/>
    <x v="358"/>
  </r>
  <r>
    <n v="377"/>
    <x v="2"/>
    <x v="0"/>
    <s v="Brazil"/>
    <s v=""/>
    <s v="Full time"/>
    <x v="359"/>
  </r>
  <r>
    <n v="378"/>
    <x v="2"/>
    <x v="0"/>
    <s v="Paris, Île-de-France, France"/>
    <s v="Data Science"/>
    <s v=""/>
    <x v="360"/>
  </r>
  <r>
    <n v="379"/>
    <x v="2"/>
    <x v="2"/>
    <s v="London, England, United Kingdom"/>
    <s v="Tech, Analytics, Product &amp; Design"/>
    <s v="Full time"/>
    <x v="361"/>
  </r>
  <r>
    <n v="380"/>
    <x v="2"/>
    <x v="0"/>
    <s v="Louisville, Colorado, United States"/>
    <s v="Delivery"/>
    <s v="Full time"/>
    <x v="362"/>
  </r>
  <r>
    <n v="381"/>
    <x v="2"/>
    <x v="1"/>
    <s v="Bengaluru, Karnataka, India"/>
    <s v="IT"/>
    <s v="Full time"/>
    <x v="363"/>
  </r>
  <r>
    <n v="382"/>
    <x v="2"/>
    <x v="1"/>
    <s v="Sydney, New South Wales, Australia"/>
    <s v="Sales"/>
    <s v="Full time"/>
    <x v="364"/>
  </r>
  <r>
    <n v="383"/>
    <x v="2"/>
    <x v="3"/>
    <s v=""/>
    <s v=""/>
    <s v=""/>
    <x v="365"/>
  </r>
  <r>
    <n v="384"/>
    <x v="2"/>
    <x v="1"/>
    <s v="London, England, United Kingdom"/>
    <s v="Product"/>
    <s v="Full time"/>
    <x v="366"/>
  </r>
  <r>
    <n v="385"/>
    <x v="2"/>
    <x v="1"/>
    <s v="Taipei, Taipei City, Taiwan"/>
    <s v=""/>
    <s v="Full time"/>
    <x v="367"/>
  </r>
  <r>
    <n v="386"/>
    <x v="2"/>
    <x v="3"/>
    <s v="Arlington, Virginia, United States"/>
    <s v="Data Analytics &amp; Research"/>
    <s v="Full time"/>
    <x v="368"/>
  </r>
  <r>
    <n v="387"/>
    <x v="2"/>
    <x v="0"/>
    <s v="Brazil"/>
    <s v=""/>
    <s v="Full time"/>
    <x v="369"/>
  </r>
  <r>
    <n v="388"/>
    <x v="2"/>
    <x v="0"/>
    <s v="Paris, Île-de-France, France"/>
    <s v="Data Science"/>
    <s v=""/>
    <x v="370"/>
  </r>
  <r>
    <n v="389"/>
    <x v="2"/>
    <x v="2"/>
    <s v="London, England, United Kingdom"/>
    <s v="Tech, Analytics, Product &amp; Design"/>
    <s v="Full time"/>
    <x v="371"/>
  </r>
  <r>
    <n v="390"/>
    <x v="2"/>
    <x v="0"/>
    <s v="Louisville, Colorado, United States"/>
    <s v="Delivery"/>
    <s v="Full time"/>
    <x v="372"/>
  </r>
  <r>
    <n v="391"/>
    <x v="2"/>
    <x v="1"/>
    <s v="Bengaluru, Karnataka, India"/>
    <s v="IT"/>
    <s v="Full time"/>
    <x v="373"/>
  </r>
  <r>
    <n v="392"/>
    <x v="2"/>
    <x v="1"/>
    <s v="Sydney, New South Wales, Australia"/>
    <s v="Sales"/>
    <s v="Full time"/>
    <x v="374"/>
  </r>
  <r>
    <n v="393"/>
    <x v="2"/>
    <x v="3"/>
    <s v=""/>
    <s v=""/>
    <s v=""/>
    <x v="375"/>
  </r>
  <r>
    <n v="394"/>
    <x v="2"/>
    <x v="1"/>
    <s v="London, England, United Kingdom"/>
    <s v="Product"/>
    <s v="Full time"/>
    <x v="376"/>
  </r>
  <r>
    <n v="395"/>
    <x v="2"/>
    <x v="0"/>
    <s v="Federal Territory of Kuala Lumpur, Malaysia"/>
    <s v="Data"/>
    <s v="Full time"/>
    <x v="377"/>
  </r>
  <r>
    <n v="396"/>
    <x v="2"/>
    <x v="2"/>
    <s v="Bengaluru, Karnataka, India"/>
    <s v="Product"/>
    <s v="Full time"/>
    <x v="378"/>
  </r>
  <r>
    <n v="397"/>
    <x v="2"/>
    <x v="1"/>
    <s v="Gurugram, Haryana, India"/>
    <s v="Information Technology"/>
    <s v="Full time"/>
    <x v="379"/>
  </r>
  <r>
    <n v="398"/>
    <x v="2"/>
    <x v="1"/>
    <s v="Cairo, Cairo Governorate, Egypt"/>
    <s v="1"/>
    <s v=""/>
    <x v="380"/>
  </r>
  <r>
    <n v="399"/>
    <x v="2"/>
    <x v="1"/>
    <s v="Taipei, Taipei City, Taiwan"/>
    <s v=""/>
    <s v="Full time"/>
    <x v="381"/>
  </r>
  <r>
    <n v="400"/>
    <x v="2"/>
    <x v="2"/>
    <s v="Paris, Île-de-France, France"/>
    <s v="TECH"/>
    <s v="Full time"/>
    <x v="382"/>
  </r>
  <r>
    <n v="401"/>
    <x v="2"/>
    <x v="2"/>
    <s v="Shibuya, Tokyo, Japan"/>
    <s v="Engineering"/>
    <s v="Full time"/>
    <x v="383"/>
  </r>
  <r>
    <n v="402"/>
    <x v="2"/>
    <x v="0"/>
    <s v="Toronto, Ontario, Canada"/>
    <s v="Data Science"/>
    <s v="Full time"/>
    <x v="384"/>
  </r>
  <r>
    <n v="403"/>
    <x v="2"/>
    <x v="1"/>
    <s v="Atlanta, Georgia, United States"/>
    <s v="Data Science"/>
    <s v="Full time"/>
    <x v="385"/>
  </r>
  <r>
    <n v="404"/>
    <x v="2"/>
    <x v="2"/>
    <s v="London, England, United Kingdom"/>
    <s v="B2C, Sales"/>
    <s v="Full time"/>
    <x v="386"/>
  </r>
  <r>
    <n v="405"/>
    <x v="2"/>
    <x v="1"/>
    <s v="France"/>
    <s v="Data Science"/>
    <s v=""/>
    <x v="132"/>
  </r>
  <r>
    <n v="406"/>
    <x v="2"/>
    <x v="0"/>
    <s v="Federal Territory of Kuala Lumpur, Malaysia"/>
    <s v="Data"/>
    <s v="Full time"/>
    <x v="387"/>
  </r>
  <r>
    <n v="407"/>
    <x v="2"/>
    <x v="1"/>
    <s v="New York, New York, United States"/>
    <s v="Engineering"/>
    <s v="Full time"/>
    <x v="388"/>
  </r>
  <r>
    <n v="408"/>
    <x v="2"/>
    <x v="0"/>
    <s v="London, England, United Kingdom"/>
    <s v="Data Science"/>
    <s v="Full time"/>
    <x v="389"/>
  </r>
  <r>
    <n v="409"/>
    <x v="2"/>
    <x v="1"/>
    <s v="Issy-les-Moulineaux, Île-de-France, France"/>
    <s v="Data Science"/>
    <s v="Full time"/>
    <x v="390"/>
  </r>
  <r>
    <n v="410"/>
    <x v="2"/>
    <x v="1"/>
    <s v="Cairo, Cairo, Egypt"/>
    <s v="Software Development"/>
    <s v=""/>
    <x v="391"/>
  </r>
  <r>
    <n v="411"/>
    <x v="2"/>
    <x v="0"/>
    <s v="Paris, Île-de-France, France"/>
    <s v="Data Science"/>
    <s v="Full time"/>
    <x v="167"/>
  </r>
  <r>
    <n v="412"/>
    <x v="2"/>
    <x v="0"/>
    <s v="Palo Alto, California, United States"/>
    <s v="Engineering"/>
    <s v="Full time"/>
    <x v="392"/>
  </r>
  <r>
    <n v="413"/>
    <x v="2"/>
    <x v="0"/>
    <s v="Lagos, Lagos, Nigeria"/>
    <s v="Data Science"/>
    <s v="Full time"/>
    <x v="393"/>
  </r>
  <r>
    <n v="414"/>
    <x v="2"/>
    <x v="1"/>
    <s v="Chicago, Illinois, United States"/>
    <s v=""/>
    <s v="Full time"/>
    <x v="394"/>
  </r>
  <r>
    <n v="415"/>
    <x v="2"/>
    <x v="2"/>
    <s v="San Francisco, California, United States"/>
    <s v="Sales"/>
    <s v="Full time"/>
    <x v="395"/>
  </r>
  <r>
    <n v="416"/>
    <x v="2"/>
    <x v="0"/>
    <s v="West Jakarta, West Jakarta City, Indonesia"/>
    <s v="Data"/>
    <s v="Temporary"/>
    <x v="396"/>
  </r>
  <r>
    <n v="417"/>
    <x v="2"/>
    <x v="0"/>
    <s v="Philippines"/>
    <s v=""/>
    <s v="Full time"/>
    <x v="397"/>
  </r>
  <r>
    <n v="418"/>
    <x v="2"/>
    <x v="1"/>
    <s v="Berlin, Berlin, Germany"/>
    <s v="Working Students / Internships"/>
    <s v="Other"/>
    <x v="398"/>
  </r>
  <r>
    <n v="419"/>
    <x v="2"/>
    <x v="1"/>
    <s v="Gurugram, Haryana, India"/>
    <s v="Research"/>
    <s v="Full time"/>
    <x v="399"/>
  </r>
  <r>
    <n v="420"/>
    <x v="2"/>
    <x v="0"/>
    <s v="United States"/>
    <s v="Cloud, Data Science &amp; Informatics Services"/>
    <s v="Full time"/>
    <x v="400"/>
  </r>
  <r>
    <n v="421"/>
    <x v="2"/>
    <x v="0"/>
    <s v="United States"/>
    <s v="Engineering"/>
    <s v="Full time"/>
    <x v="401"/>
  </r>
  <r>
    <n v="422"/>
    <x v="2"/>
    <x v="1"/>
    <s v="Stamford, Connecticut, United States"/>
    <s v="Research"/>
    <s v="Full time"/>
    <x v="402"/>
  </r>
  <r>
    <n v="423"/>
    <x v="2"/>
    <x v="1"/>
    <s v="Singapore"/>
    <s v="Strategic Projects"/>
    <s v="Full time"/>
    <x v="403"/>
  </r>
  <r>
    <n v="424"/>
    <x v="2"/>
    <x v="0"/>
    <s v=""/>
    <s v="Product"/>
    <s v=""/>
    <x v="404"/>
  </r>
  <r>
    <n v="425"/>
    <x v="2"/>
    <x v="1"/>
    <s v="Toronto, Ontario, Canada"/>
    <s v="Data Engineering"/>
    <s v="Full time"/>
    <x v="405"/>
  </r>
  <r>
    <n v="426"/>
    <x v="2"/>
    <x v="0"/>
    <s v=""/>
    <s v="Product"/>
    <s v="Full time"/>
    <x v="406"/>
  </r>
  <r>
    <n v="427"/>
    <x v="2"/>
    <x v="0"/>
    <s v="United Kingdom"/>
    <s v="Technology - Machine Learning"/>
    <s v="Full time"/>
    <x v="407"/>
  </r>
  <r>
    <n v="428"/>
    <x v="2"/>
    <x v="1"/>
    <s v="Bangkok, Bangkok, Thailand"/>
    <s v="Data Engineer"/>
    <s v="Full time"/>
    <x v="408"/>
  </r>
  <r>
    <n v="429"/>
    <x v="2"/>
    <x v="1"/>
    <s v="London, England, United Kingdom"/>
    <s v="Data Science"/>
    <s v=""/>
    <x v="409"/>
  </r>
  <r>
    <n v="430"/>
    <x v="2"/>
    <x v="1"/>
    <s v="Jersey City, New Jersey, United States"/>
    <s v="Data Engineering"/>
    <s v="Full time"/>
    <x v="410"/>
  </r>
  <r>
    <n v="431"/>
    <x v="2"/>
    <x v="2"/>
    <s v="London, England, United Kingdom"/>
    <s v="Platform and Products"/>
    <s v="Full time"/>
    <x v="411"/>
  </r>
  <r>
    <n v="432"/>
    <x v="2"/>
    <x v="1"/>
    <s v="Astana, Aqmola oblısı, Kazakhstan"/>
    <s v="TECH"/>
    <s v="Full time"/>
    <x v="412"/>
  </r>
  <r>
    <n v="433"/>
    <x v="2"/>
    <x v="1"/>
    <s v="Taipei, Taipei City, Taiwan"/>
    <s v="Engineering"/>
    <s v="Full time"/>
    <x v="413"/>
  </r>
  <r>
    <n v="434"/>
    <x v="2"/>
    <x v="1"/>
    <s v="Atlanta, Georgia, United States"/>
    <s v="Data Science"/>
    <s v="Full time"/>
    <x v="414"/>
  </r>
  <r>
    <n v="435"/>
    <x v="2"/>
    <x v="1"/>
    <s v="Dubai, Dubai, United Arab Emirates"/>
    <s v="Corporate"/>
    <s v="Full time"/>
    <x v="415"/>
  </r>
  <r>
    <n v="436"/>
    <x v="2"/>
    <x v="1"/>
    <s v="Tampa, Florida, United States"/>
    <s v="WWC Global - BC"/>
    <s v="Full time"/>
    <x v="416"/>
  </r>
  <r>
    <n v="437"/>
    <x v="2"/>
    <x v="0"/>
    <s v="United States"/>
    <s v="Technology Division"/>
    <s v="Full time"/>
    <x v="417"/>
  </r>
  <r>
    <n v="438"/>
    <x v="2"/>
    <x v="0"/>
    <s v="Germany"/>
    <s v="FullTime"/>
    <s v="Full time"/>
    <x v="418"/>
  </r>
  <r>
    <n v="439"/>
    <x v="2"/>
    <x v="0"/>
    <s v="United States"/>
    <s v="Finance"/>
    <s v="Full time"/>
    <x v="409"/>
  </r>
  <r>
    <n v="440"/>
    <x v="2"/>
    <x v="0"/>
    <s v="Lagos, Lagos, Nigeria"/>
    <s v="Data Science"/>
    <s v="Full time"/>
    <x v="419"/>
  </r>
  <r>
    <n v="441"/>
    <x v="2"/>
    <x v="0"/>
    <s v="Hyderabad, Telangana, India"/>
    <s v="Data Engineering"/>
    <s v=""/>
    <x v="420"/>
  </r>
  <r>
    <n v="442"/>
    <x v="2"/>
    <x v="1"/>
    <s v="Paris, Île-de-France, France"/>
    <s v="Data"/>
    <s v="Full time"/>
    <x v="421"/>
  </r>
  <r>
    <n v="443"/>
    <x v="2"/>
    <x v="0"/>
    <s v="Lisbon, Lisbon, Portugal"/>
    <s v="Engineering"/>
    <s v="Full time"/>
    <x v="158"/>
  </r>
  <r>
    <n v="444"/>
    <x v="2"/>
    <x v="0"/>
    <s v="Paris, Île-de-France, France"/>
    <s v="Product"/>
    <s v="Full time"/>
    <x v="422"/>
  </r>
  <r>
    <n v="445"/>
    <x v="2"/>
    <x v="3"/>
    <s v=""/>
    <s v=""/>
    <s v=""/>
    <x v="423"/>
  </r>
  <r>
    <n v="446"/>
    <x v="2"/>
    <x v="1"/>
    <s v="Charlotte, North Carolina, United States"/>
    <s v="Data"/>
    <s v="Full time"/>
    <x v="424"/>
  </r>
  <r>
    <n v="447"/>
    <x v="2"/>
    <x v="0"/>
    <s v="New York, New York, United States"/>
    <s v=""/>
    <s v="Full time"/>
    <x v="425"/>
  </r>
  <r>
    <n v="448"/>
    <x v="2"/>
    <x v="1"/>
    <s v="Walnut Creek, California, United States"/>
    <s v="R&amp;D"/>
    <s v="Full time"/>
    <x v="426"/>
  </r>
  <r>
    <n v="449"/>
    <x v="2"/>
    <x v="0"/>
    <s v="United States"/>
    <s v="Technology Division"/>
    <s v="Full time"/>
    <x v="427"/>
  </r>
  <r>
    <n v="450"/>
    <x v="2"/>
    <x v="0"/>
    <s v="Chicago, Illinois, United States"/>
    <s v="Data Engineering"/>
    <s v="Full time"/>
    <x v="428"/>
  </r>
  <r>
    <n v="451"/>
    <x v="2"/>
    <x v="1"/>
    <s v="Seoul, Seoul, Korea, Republic of"/>
    <s v="Research"/>
    <s v="Full time"/>
    <x v="429"/>
  </r>
  <r>
    <n v="452"/>
    <x v="2"/>
    <x v="0"/>
    <s v="United States"/>
    <s v="Product"/>
    <s v="Full time"/>
    <x v="430"/>
  </r>
  <r>
    <n v="453"/>
    <x v="2"/>
    <x v="0"/>
    <s v="Spain"/>
    <s v="BI"/>
    <s v="Full time"/>
    <x v="431"/>
  </r>
  <r>
    <n v="454"/>
    <x v="2"/>
    <x v="1"/>
    <s v="New York, New York, United States"/>
    <s v="Technology/Data"/>
    <s v="Full time"/>
    <x v="432"/>
  </r>
  <r>
    <n v="455"/>
    <x v="2"/>
    <x v="0"/>
    <s v="United Kingdom"/>
    <s v="UK"/>
    <s v="Full time"/>
    <x v="433"/>
  </r>
  <r>
    <n v="456"/>
    <x v="2"/>
    <x v="1"/>
    <s v="Athens, Attica, Greece"/>
    <s v="GEK TERNA / ICT"/>
    <s v="Full time"/>
    <x v="434"/>
  </r>
  <r>
    <n v="457"/>
    <x v="2"/>
    <x v="0"/>
    <s v="London, England, United Kingdom"/>
    <s v="Climate"/>
    <s v="Full time"/>
    <x v="435"/>
  </r>
  <r>
    <n v="458"/>
    <x v="2"/>
    <x v="1"/>
    <s v="Lusaka, Lusaka Province, Zambia"/>
    <s v="Sustainable Agrifood Systems (SAS)"/>
    <s v="Full time"/>
    <x v="436"/>
  </r>
  <r>
    <n v="459"/>
    <x v="2"/>
    <x v="1"/>
    <s v="Cairo, Cairo Governorate, Egypt"/>
    <s v="Data"/>
    <s v="Full time"/>
    <x v="437"/>
  </r>
  <r>
    <n v="460"/>
    <x v="2"/>
    <x v="1"/>
    <s v="Concord, New Hampshire, United States"/>
    <s v="Related Services"/>
    <s v="Full time"/>
    <x v="438"/>
  </r>
  <r>
    <n v="461"/>
    <x v="2"/>
    <x v="1"/>
    <s v="Dallas, Texas, United States"/>
    <s v="Data Engineering"/>
    <s v="Full time"/>
    <x v="439"/>
  </r>
  <r>
    <n v="462"/>
    <x v="2"/>
    <x v="0"/>
    <s v="Boston, Massachusetts, United States"/>
    <s v="Science &amp; Knowledge"/>
    <s v=""/>
    <x v="440"/>
  </r>
  <r>
    <n v="463"/>
    <x v="2"/>
    <x v="1"/>
    <s v="Dubai, Dubai, United Arab Emirates"/>
    <s v=""/>
    <s v="Full time"/>
    <x v="441"/>
  </r>
  <r>
    <n v="464"/>
    <x v="2"/>
    <x v="1"/>
    <s v="Singapore"/>
    <s v="Strategic Projects"/>
    <s v="Full time"/>
    <x v="442"/>
  </r>
  <r>
    <n v="465"/>
    <x v="2"/>
    <x v="1"/>
    <s v="Cheltenham or Bristol or London, England, United Kingdom"/>
    <s v="Engineering"/>
    <s v="Full time"/>
    <x v="443"/>
  </r>
  <r>
    <n v="466"/>
    <x v="2"/>
    <x v="1"/>
    <s v="Mandaluyong, Metro Manila, Philippines"/>
    <s v="IT Development"/>
    <s v="Full time"/>
    <x v="444"/>
  </r>
  <r>
    <n v="467"/>
    <x v="2"/>
    <x v="0"/>
    <s v="United States"/>
    <s v="050000 Engineering"/>
    <s v="Full time"/>
    <x v="445"/>
  </r>
  <r>
    <n v="468"/>
    <x v="2"/>
    <x v="0"/>
    <s v="London, England, United Kingdom"/>
    <s v="Engineering"/>
    <s v="Full time"/>
    <x v="446"/>
  </r>
  <r>
    <n v="469"/>
    <x v="2"/>
    <x v="0"/>
    <s v="Seville, Andalusia, Spain"/>
    <s v="International BU"/>
    <s v="Full time"/>
    <x v="447"/>
  </r>
  <r>
    <n v="470"/>
    <x v="2"/>
    <x v="1"/>
    <s v="Bambey, Diourbel Region, Senegal"/>
    <s v="Dryland Crops Program"/>
    <s v="Full time"/>
    <x v="402"/>
  </r>
  <r>
    <n v="471"/>
    <x v="2"/>
    <x v="1"/>
    <s v="Bengaluru, Karnataka, India"/>
    <s v="Data &amp; AI"/>
    <s v="Full time"/>
    <x v="448"/>
  </r>
  <r>
    <n v="472"/>
    <x v="2"/>
    <x v="0"/>
    <s v="Salt Lake City, Utah, United States"/>
    <s v="Supply Chain, Quality &amp; Product Safety"/>
    <s v="Full time"/>
    <x v="449"/>
  </r>
  <r>
    <n v="473"/>
    <x v="2"/>
    <x v="1"/>
    <s v="London, England, United Kingdom"/>
    <s v=""/>
    <s v="Full time"/>
    <x v="450"/>
  </r>
  <r>
    <n v="474"/>
    <x v="2"/>
    <x v="1"/>
    <s v="Paris, Île-de-France, France"/>
    <s v="Technology"/>
    <s v="Full time"/>
    <x v="451"/>
  </r>
  <r>
    <n v="475"/>
    <x v="2"/>
    <x v="1"/>
    <s v="New Delhi, Delhi, India"/>
    <s v=""/>
    <s v=""/>
    <x v="452"/>
  </r>
  <r>
    <n v="476"/>
    <x v="2"/>
    <x v="0"/>
    <s v="Málaga, Andalusia, Spain"/>
    <s v="Product"/>
    <s v="Full time"/>
    <x v="453"/>
  </r>
  <r>
    <n v="477"/>
    <x v="2"/>
    <x v="0"/>
    <s v="Oxford, England, United Kingdom"/>
    <s v="Technology"/>
    <s v="Full time"/>
    <x v="278"/>
  </r>
  <r>
    <n v="478"/>
    <x v="2"/>
    <x v="0"/>
    <s v="Seville, Andalusia, Spain"/>
    <s v="International BU"/>
    <s v="Full time"/>
    <x v="454"/>
  </r>
  <r>
    <n v="479"/>
    <x v="2"/>
    <x v="1"/>
    <s v="Bambey, Diourbel Region, Senegal"/>
    <s v="Dryland Crops Program"/>
    <s v="Full time"/>
    <x v="455"/>
  </r>
  <r>
    <n v="480"/>
    <x v="2"/>
    <x v="1"/>
    <s v="Bengaluru, Karnataka, India"/>
    <s v="Data &amp; AI"/>
    <s v="Full time"/>
    <x v="456"/>
  </r>
  <r>
    <n v="481"/>
    <x v="2"/>
    <x v="0"/>
    <s v="Salt Lake City, Utah, United States"/>
    <s v="Supply Chain, Quality &amp; Product Safety"/>
    <s v="Full time"/>
    <x v="457"/>
  </r>
  <r>
    <n v="482"/>
    <x v="2"/>
    <x v="1"/>
    <s v="London, England, United Kingdom"/>
    <s v=""/>
    <s v="Full time"/>
    <x v="458"/>
  </r>
  <r>
    <n v="483"/>
    <x v="2"/>
    <x v="1"/>
    <s v="Paris, Île-de-France, France"/>
    <s v="Technology"/>
    <s v="Full time"/>
    <x v="459"/>
  </r>
  <r>
    <n v="484"/>
    <x v="2"/>
    <x v="1"/>
    <s v="New Delhi, Delhi, India"/>
    <s v=""/>
    <s v=""/>
    <x v="460"/>
  </r>
  <r>
    <n v="485"/>
    <x v="2"/>
    <x v="0"/>
    <s v="Málaga, Andalusia, Spain"/>
    <s v="Product"/>
    <s v="Full time"/>
    <x v="461"/>
  </r>
  <r>
    <n v="486"/>
    <x v="2"/>
    <x v="0"/>
    <s v="Oxford, England, United Kingdom"/>
    <s v="Technology"/>
    <s v="Full time"/>
    <x v="462"/>
  </r>
  <r>
    <n v="487"/>
    <x v="2"/>
    <x v="2"/>
    <s v="Melbourne, Victoria, Australia"/>
    <s v="Platform Product"/>
    <s v="Full time"/>
    <x v="463"/>
  </r>
  <r>
    <n v="488"/>
    <x v="2"/>
    <x v="3"/>
    <s v=""/>
    <s v=""/>
    <s v=""/>
    <x v="464"/>
  </r>
  <r>
    <n v="489"/>
    <x v="2"/>
    <x v="2"/>
    <s v="London, England, United Kingdom"/>
    <s v="Business Operations, Analytics &amp; Data Science"/>
    <s v="Full time"/>
    <x v="465"/>
  </r>
  <r>
    <n v="490"/>
    <x v="2"/>
    <x v="1"/>
    <s v="Sheffield, England, United Kingdom"/>
    <s v=""/>
    <s v="Full time"/>
    <x v="466"/>
  </r>
  <r>
    <n v="491"/>
    <x v="2"/>
    <x v="3"/>
    <s v=""/>
    <s v=""/>
    <s v=""/>
    <x v="467"/>
  </r>
  <r>
    <n v="492"/>
    <x v="2"/>
    <x v="1"/>
    <s v="Athens, Attica, Greece"/>
    <s v=""/>
    <s v="Full time"/>
    <x v="468"/>
  </r>
  <r>
    <n v="493"/>
    <x v="2"/>
    <x v="2"/>
    <s v="Phra Khanong, Bangkok, Thailand"/>
    <s v="Data Science"/>
    <s v="Full time"/>
    <x v="469"/>
  </r>
  <r>
    <n v="494"/>
    <x v="2"/>
    <x v="3"/>
    <s v=""/>
    <s v="Talent Pools, Product &amp; Tech, AI"/>
    <s v=""/>
    <x v="470"/>
  </r>
  <r>
    <n v="495"/>
    <x v="2"/>
    <x v="0"/>
    <s v="United States"/>
    <s v="Academic Instruction"/>
    <s v=""/>
    <x v="471"/>
  </r>
  <r>
    <n v="496"/>
    <x v="2"/>
    <x v="2"/>
    <s v="Jeddah, Makkah Province, Saudi Arabia"/>
    <s v="Data and Analytics"/>
    <s v="Full time"/>
    <x v="472"/>
  </r>
  <r>
    <n v="497"/>
    <x v="2"/>
    <x v="1"/>
    <s v="Copenhagen, Capital Region of Denmark, Denmark"/>
    <s v="Product and Design"/>
    <s v=""/>
    <x v="446"/>
  </r>
  <r>
    <n v="498"/>
    <x v="2"/>
    <x v="0"/>
    <s v="West Jakarta, West Jakarta City, Indonesia"/>
    <s v="Data"/>
    <s v="Temporary"/>
    <x v="473"/>
  </r>
  <r>
    <n v="499"/>
    <x v="2"/>
    <x v="0"/>
    <s v="Westfield, New Jersey, United States"/>
    <s v="Client Fulfillment"/>
    <s v="Full time"/>
    <x v="474"/>
  </r>
  <r>
    <n v="500"/>
    <x v="2"/>
    <x v="0"/>
    <s v="New York, New York, United States"/>
    <s v="Open Source"/>
    <s v="Full time"/>
    <x v="28"/>
  </r>
  <r>
    <n v="501"/>
    <x v="2"/>
    <x v="3"/>
    <s v=""/>
    <s v=""/>
    <s v=""/>
    <x v="475"/>
  </r>
  <r>
    <n v="502"/>
    <x v="2"/>
    <x v="1"/>
    <s v="United Kingdom"/>
    <s v=""/>
    <s v=""/>
    <x v="476"/>
  </r>
  <r>
    <n v="503"/>
    <x v="2"/>
    <x v="1"/>
    <s v="Lusaka, Lusaka Province, Zambia"/>
    <s v="Sustainable Agrifood Systems (SAS)"/>
    <s v="Full time"/>
    <x v="477"/>
  </r>
  <r>
    <n v="504"/>
    <x v="2"/>
    <x v="1"/>
    <s v="Singapore, Singapore, Singapore"/>
    <s v="Operations SG"/>
    <s v="Full time"/>
    <x v="478"/>
  </r>
  <r>
    <n v="505"/>
    <x v="2"/>
    <x v="3"/>
    <s v=""/>
    <s v=""/>
    <s v=""/>
    <x v="479"/>
  </r>
  <r>
    <n v="506"/>
    <x v="2"/>
    <x v="2"/>
    <s v="London, England, United Kingdom"/>
    <s v="Data &amp; Analytics"/>
    <s v="Full time"/>
    <x v="480"/>
  </r>
  <r>
    <n v="507"/>
    <x v="2"/>
    <x v="2"/>
    <s v="London, England, United Kingdom"/>
    <s v="Technology &amp; Data"/>
    <s v="Full time"/>
    <x v="481"/>
  </r>
  <r>
    <n v="508"/>
    <x v="2"/>
    <x v="3"/>
    <s v=""/>
    <s v=""/>
    <s v=""/>
    <x v="482"/>
  </r>
  <r>
    <n v="509"/>
    <x v="2"/>
    <x v="1"/>
    <s v="Baghdad, Baghdad Governorate, Iraq"/>
    <s v="Research and Development"/>
    <s v=""/>
    <x v="483"/>
  </r>
  <r>
    <n v="510"/>
    <x v="2"/>
    <x v="2"/>
    <s v="Melbourne, Victoria, Australia"/>
    <s v="Delivery"/>
    <s v="Full time"/>
    <x v="484"/>
  </r>
  <r>
    <n v="511"/>
    <x v="2"/>
    <x v="0"/>
    <s v="Charlotte, North Carolina, United States"/>
    <s v="Customer Success"/>
    <s v="Full time"/>
    <x v="485"/>
  </r>
  <r>
    <n v="512"/>
    <x v="2"/>
    <x v="0"/>
    <s v="London, England, United Kingdom"/>
    <s v="Marketing"/>
    <s v="Part time"/>
    <x v="486"/>
  </r>
  <r>
    <n v="513"/>
    <x v="2"/>
    <x v="0"/>
    <s v="Coimbra, Coimbra District, Portugal"/>
    <s v="Engineering"/>
    <s v="Full time"/>
    <x v="487"/>
  </r>
  <r>
    <n v="514"/>
    <x v="2"/>
    <x v="1"/>
    <s v="Bengaluru, Karnataka, India"/>
    <s v="Engineering"/>
    <s v="Full time"/>
    <x v="488"/>
  </r>
  <r>
    <n v="515"/>
    <x v="2"/>
    <x v="1"/>
    <s v="Bakersfield, California, United States"/>
    <s v="Field Services"/>
    <s v="Temporary"/>
    <x v="489"/>
  </r>
  <r>
    <n v="516"/>
    <x v="2"/>
    <x v="2"/>
    <s v="Kathmandu, Bagmati Province, Nepal"/>
    <s v="Engineering"/>
    <s v="Full time"/>
    <x v="490"/>
  </r>
  <r>
    <n v="517"/>
    <x v="2"/>
    <x v="2"/>
    <s v="New York, New York, United States"/>
    <s v="Media Planning"/>
    <s v="Full time"/>
    <x v="491"/>
  </r>
  <r>
    <n v="518"/>
    <x v="2"/>
    <x v="0"/>
    <s v="United Kingdom"/>
    <s v="Engineering, Data Engineering"/>
    <s v="Full time"/>
    <x v="492"/>
  </r>
  <r>
    <n v="519"/>
    <x v="2"/>
    <x v="1"/>
    <s v="New York, New York, United States"/>
    <s v="Corporate"/>
    <s v="Full time"/>
    <x v="493"/>
  </r>
  <r>
    <n v="520"/>
    <x v="2"/>
    <x v="0"/>
    <s v="Dubai, Dubai, United Arab Emirates"/>
    <s v=""/>
    <s v="Full time"/>
    <x v="494"/>
  </r>
  <r>
    <n v="521"/>
    <x v="2"/>
    <x v="1"/>
    <s v="Pune, Maharashtra, India"/>
    <s v="Quality Assurance &amp; Test Engineering"/>
    <s v="Full time"/>
    <x v="314"/>
  </r>
  <r>
    <n v="522"/>
    <x v="2"/>
    <x v="0"/>
    <s v="Washington, District of Columbia, United States"/>
    <s v="Food &amp; Environment"/>
    <s v="Full time"/>
    <x v="495"/>
  </r>
  <r>
    <n v="523"/>
    <x v="2"/>
    <x v="0"/>
    <s v="Indianapolis, Indiana, United States"/>
    <s v="Product &amp; Engineering"/>
    <s v=""/>
    <x v="496"/>
  </r>
  <r>
    <n v="524"/>
    <x v="2"/>
    <x v="0"/>
    <s v="Dubai, Dubai, United Arab Emirates"/>
    <s v=""/>
    <s v="Full time"/>
    <x v="497"/>
  </r>
  <r>
    <n v="525"/>
    <x v="2"/>
    <x v="1"/>
    <s v="Freetown, Western Area, Sierra Leone"/>
    <s v="Private Schools"/>
    <s v="Temporary"/>
    <x v="498"/>
  </r>
  <r>
    <n v="526"/>
    <x v="2"/>
    <x v="1"/>
    <s v="San Leandro, California, United States"/>
    <s v="Business Operations"/>
    <s v="Full time"/>
    <x v="499"/>
  </r>
  <r>
    <n v="527"/>
    <x v="2"/>
    <x v="0"/>
    <s v="Arlington, Virginia, United States"/>
    <s v="Data Analytics &amp; Research"/>
    <s v="Full time"/>
    <x v="500"/>
  </r>
  <r>
    <n v="528"/>
    <x v="2"/>
    <x v="0"/>
    <s v="Bristol, England, United Kingdom"/>
    <s v=""/>
    <s v="Full time"/>
    <x v="501"/>
  </r>
  <r>
    <n v="529"/>
    <x v="2"/>
    <x v="2"/>
    <s v="Paris, Île-de-France, France"/>
    <s v="TECH"/>
    <s v="Full time"/>
    <x v="502"/>
  </r>
  <r>
    <n v="530"/>
    <x v="2"/>
    <x v="1"/>
    <s v="London, England, United Kingdom"/>
    <s v=""/>
    <s v="Contract"/>
    <x v="503"/>
  </r>
  <r>
    <n v="531"/>
    <x v="2"/>
    <x v="0"/>
    <s v=""/>
    <s v="Client Services"/>
    <s v="Full time"/>
    <x v="504"/>
  </r>
  <r>
    <n v="532"/>
    <x v="2"/>
    <x v="0"/>
    <s v="Washington, District of Columbia, United States"/>
    <s v="Food &amp; Environment"/>
    <s v="Full time"/>
    <x v="505"/>
  </r>
  <r>
    <n v="533"/>
    <x v="2"/>
    <x v="1"/>
    <s v="UK, United Kingdom, United Kingdom"/>
    <s v="Data+"/>
    <s v=""/>
    <x v="506"/>
  </r>
  <r>
    <n v="534"/>
    <x v="2"/>
    <x v="0"/>
    <s v="United Kingdom"/>
    <s v="Sales"/>
    <s v="Full time"/>
    <x v="161"/>
  </r>
  <r>
    <n v="535"/>
    <x v="3"/>
    <x v="1"/>
    <s v="Mandaluyong, Metro Manila, Philippines"/>
    <s v="General"/>
    <s v="Contract"/>
    <x v="60"/>
  </r>
  <r>
    <n v="536"/>
    <x v="3"/>
    <x v="1"/>
    <s v="Baghdad, Baghdad Governorate, Iraq"/>
    <s v="Human Resources"/>
    <s v="Full time"/>
    <x v="507"/>
  </r>
  <r>
    <n v="537"/>
    <x v="3"/>
    <x v="0"/>
    <s v="India"/>
    <s v="Human Resources"/>
    <s v="Full time"/>
    <x v="508"/>
  </r>
  <r>
    <n v="538"/>
    <x v="3"/>
    <x v="0"/>
    <s v=""/>
    <s v="General &amp; Administrative"/>
    <s v="Full time"/>
    <x v="509"/>
  </r>
  <r>
    <n v="539"/>
    <x v="3"/>
    <x v="2"/>
    <s v="Canary Wharf, England, United Kingdom"/>
    <s v="Corporate support"/>
    <s v="Full time"/>
    <x v="510"/>
  </r>
  <r>
    <n v="540"/>
    <x v="3"/>
    <x v="1"/>
    <s v="Rockville, Maryland, United States"/>
    <s v="LS&amp;S HQ"/>
    <s v="Full time"/>
    <x v="511"/>
  </r>
  <r>
    <n v="541"/>
    <x v="3"/>
    <x v="0"/>
    <s v="Australia"/>
    <s v="CX Delivery (Managed &amp; Guided Implementations)"/>
    <s v="Full time"/>
    <x v="512"/>
  </r>
  <r>
    <n v="542"/>
    <x v="3"/>
    <x v="1"/>
    <s v="Sydney, New South Wales, Australia"/>
    <s v="Sales"/>
    <s v="Full time"/>
    <x v="513"/>
  </r>
  <r>
    <n v="543"/>
    <x v="3"/>
    <x v="0"/>
    <s v="Vietnam"/>
    <s v="Engineering"/>
    <s v="Full time"/>
    <x v="514"/>
  </r>
  <r>
    <n v="544"/>
    <x v="3"/>
    <x v="1"/>
    <s v="Mandaluyong, Metro Manila, Philippines"/>
    <s v=""/>
    <s v="Contract"/>
    <x v="515"/>
  </r>
  <r>
    <n v="545"/>
    <x v="3"/>
    <x v="1"/>
    <s v="Lusaka, Lusaka Province, Zambia"/>
    <s v="Africa, Programs"/>
    <s v="Full time"/>
    <x v="516"/>
  </r>
  <r>
    <n v="546"/>
    <x v="3"/>
    <x v="1"/>
    <s v="Baghdad, Baghdad Governorate, Iraq"/>
    <s v="Human Resources"/>
    <s v="Full time"/>
    <x v="517"/>
  </r>
  <r>
    <n v="547"/>
    <x v="3"/>
    <x v="0"/>
    <s v="India"/>
    <s v="Human Resources"/>
    <s v="Full time"/>
    <x v="518"/>
  </r>
  <r>
    <n v="548"/>
    <x v="3"/>
    <x v="0"/>
    <s v=""/>
    <s v="General &amp; Administrative"/>
    <s v="Full time"/>
    <x v="519"/>
  </r>
  <r>
    <n v="549"/>
    <x v="3"/>
    <x v="1"/>
    <s v="Rockville, Maryland, United States"/>
    <s v="LS&amp;S HQ"/>
    <s v="Full time"/>
    <x v="520"/>
  </r>
  <r>
    <n v="550"/>
    <x v="3"/>
    <x v="0"/>
    <s v="Australia"/>
    <s v="CX Delivery (Managed &amp; Guided Implementations)"/>
    <s v="Full time"/>
    <x v="521"/>
  </r>
  <r>
    <n v="551"/>
    <x v="3"/>
    <x v="0"/>
    <s v="Vietnam"/>
    <s v="Engineering"/>
    <s v="Full time"/>
    <x v="522"/>
  </r>
  <r>
    <n v="552"/>
    <x v="3"/>
    <x v="1"/>
    <s v="Gurugram, Haryana, India"/>
    <s v="HR"/>
    <s v="Full time"/>
    <x v="518"/>
  </r>
  <r>
    <n v="553"/>
    <x v="3"/>
    <x v="1"/>
    <s v="Mandaluyong, Metro Manila, Philippines"/>
    <s v="General"/>
    <s v="Contract"/>
    <x v="523"/>
  </r>
  <r>
    <n v="554"/>
    <x v="3"/>
    <x v="1"/>
    <s v="Lusaka, Lusaka Province, Zambia"/>
    <s v="Africa, Programs"/>
    <s v="Full time"/>
    <x v="524"/>
  </r>
  <r>
    <n v="555"/>
    <x v="3"/>
    <x v="1"/>
    <s v="Baghdad, Baghdad Governorate, Iraq"/>
    <s v="Human Resources"/>
    <s v="Full time"/>
    <x v="525"/>
  </r>
  <r>
    <n v="556"/>
    <x v="3"/>
    <x v="0"/>
    <s v="India"/>
    <s v="Human Resources"/>
    <s v="Full time"/>
    <x v="526"/>
  </r>
  <r>
    <n v="557"/>
    <x v="3"/>
    <x v="0"/>
    <s v=""/>
    <s v="General &amp; Administrative"/>
    <s v="Full time"/>
    <x v="527"/>
  </r>
  <r>
    <n v="558"/>
    <x v="3"/>
    <x v="1"/>
    <s v="Rockville, Maryland, United States"/>
    <s v="LS&amp;S HQ"/>
    <s v="Full time"/>
    <x v="528"/>
  </r>
  <r>
    <n v="559"/>
    <x v="3"/>
    <x v="0"/>
    <s v="Australia"/>
    <s v="CX Delivery (Managed &amp; Guided Implementations)"/>
    <s v="Full time"/>
    <x v="529"/>
  </r>
  <r>
    <n v="560"/>
    <x v="3"/>
    <x v="0"/>
    <s v="Vietnam"/>
    <s v="Engineering"/>
    <s v="Full time"/>
    <x v="530"/>
  </r>
  <r>
    <n v="561"/>
    <x v="3"/>
    <x v="1"/>
    <s v="Gurugram, Haryana, India"/>
    <s v="HR"/>
    <s v="Full time"/>
    <x v="531"/>
  </r>
  <r>
    <n v="562"/>
    <x v="3"/>
    <x v="1"/>
    <s v="Uxbridge, England, United Kingdom"/>
    <s v=""/>
    <s v="Full time"/>
    <x v="532"/>
  </r>
  <r>
    <n v="563"/>
    <x v="3"/>
    <x v="2"/>
    <s v="Canary Wharf, England, United Kingdom"/>
    <s v="Corporate support"/>
    <s v="Full time"/>
    <x v="533"/>
  </r>
  <r>
    <n v="564"/>
    <x v="3"/>
    <x v="1"/>
    <s v="Rockville, Maryland, United States"/>
    <s v="LS&amp;S HQ"/>
    <s v="Full time"/>
    <x v="534"/>
  </r>
  <r>
    <n v="565"/>
    <x v="3"/>
    <x v="1"/>
    <s v="Industrial Area, Al Rayyan Municipality, Qatar"/>
    <s v="Electrical"/>
    <s v="Full time"/>
    <x v="535"/>
  </r>
  <r>
    <n v="566"/>
    <x v="3"/>
    <x v="2"/>
    <s v="Mumbai, Maharashtra, India"/>
    <s v="India"/>
    <s v=""/>
    <x v="536"/>
  </r>
  <r>
    <n v="567"/>
    <x v="3"/>
    <x v="0"/>
    <s v="Arizona, United States"/>
    <s v=""/>
    <s v=""/>
    <x v="537"/>
  </r>
  <r>
    <n v="568"/>
    <x v="3"/>
    <x v="1"/>
    <s v="Gurugram, Haryana, India"/>
    <s v="Information Technology"/>
    <s v="Full time"/>
    <x v="538"/>
  </r>
  <r>
    <n v="569"/>
    <x v="3"/>
    <x v="0"/>
    <s v="San José, San José Province, Costa Rica"/>
    <s v=""/>
    <s v="Contract"/>
    <x v="424"/>
  </r>
  <r>
    <n v="570"/>
    <x v="3"/>
    <x v="1"/>
    <s v="Cairo, Cairo Governorate, Egypt"/>
    <s v="Human Resources"/>
    <s v="Full time"/>
    <x v="539"/>
  </r>
  <r>
    <n v="571"/>
    <x v="3"/>
    <x v="1"/>
    <s v="Lusaka, Lusaka Province, Zambia"/>
    <s v="Sustainable Agrifood Systems (SAS)"/>
    <s v="Full time"/>
    <x v="540"/>
  </r>
  <r>
    <n v="572"/>
    <x v="3"/>
    <x v="1"/>
    <s v="Uxbridge, England, United Kingdom"/>
    <s v=""/>
    <s v="Full time"/>
    <x v="541"/>
  </r>
  <r>
    <n v="573"/>
    <x v="3"/>
    <x v="3"/>
    <s v="Canary Wharf, England, United Kingdom"/>
    <s v="Corporate support"/>
    <s v="Full time"/>
    <x v="542"/>
  </r>
  <r>
    <n v="574"/>
    <x v="3"/>
    <x v="1"/>
    <s v="Rockville, Maryland, United States"/>
    <s v="LS&amp;S HQ"/>
    <s v="Full time"/>
    <x v="543"/>
  </r>
  <r>
    <n v="575"/>
    <x v="3"/>
    <x v="1"/>
    <s v="Industrial Area, Al Rayyan Municipality, Qatar"/>
    <s v="Electrical"/>
    <s v="Full time"/>
    <x v="544"/>
  </r>
  <r>
    <n v="576"/>
    <x v="3"/>
    <x v="2"/>
    <s v="Mumbai, Maharashtra, India"/>
    <s v="India"/>
    <s v=""/>
    <x v="242"/>
  </r>
  <r>
    <n v="577"/>
    <x v="3"/>
    <x v="0"/>
    <s v="Arizona, United States"/>
    <s v=""/>
    <s v=""/>
    <x v="545"/>
  </r>
  <r>
    <n v="578"/>
    <x v="3"/>
    <x v="1"/>
    <s v="Gurugram, Haryana, India"/>
    <s v="Information Technology"/>
    <s v="Full time"/>
    <x v="546"/>
  </r>
  <r>
    <n v="579"/>
    <x v="3"/>
    <x v="0"/>
    <s v="San José, San José Province, Costa Rica"/>
    <s v=""/>
    <s v="Contract"/>
    <x v="547"/>
  </r>
  <r>
    <n v="580"/>
    <x v="3"/>
    <x v="1"/>
    <s v="Cairo, Cairo Governorate, Egypt"/>
    <s v="Human Resources"/>
    <s v="Full time"/>
    <x v="548"/>
  </r>
  <r>
    <n v="581"/>
    <x v="3"/>
    <x v="1"/>
    <s v="Lusaka, Lusaka Province, Zambia"/>
    <s v="Sustainable Agrifood Systems (SAS)"/>
    <s v=""/>
    <x v="549"/>
  </r>
  <r>
    <n v="582"/>
    <x v="3"/>
    <x v="1"/>
    <s v="Athens, Attica, Greece"/>
    <s v="HERON / ENERGY MANAGEMENT"/>
    <s v=""/>
    <x v="550"/>
  </r>
  <r>
    <n v="583"/>
    <x v="3"/>
    <x v="1"/>
    <s v="Port Harcourt, Rivers, Nigeria"/>
    <s v=""/>
    <s v="Full time"/>
    <x v="551"/>
  </r>
  <r>
    <n v="584"/>
    <x v="3"/>
    <x v="1"/>
    <s v="London, England, United Kingdom"/>
    <s v="People, People"/>
    <s v="Full time"/>
    <x v="552"/>
  </r>
  <r>
    <n v="585"/>
    <x v="3"/>
    <x v="1"/>
    <s v="Singapore, Singapore, Singapore"/>
    <s v="Design and Development"/>
    <s v="Part time"/>
    <x v="553"/>
  </r>
  <r>
    <n v="586"/>
    <x v="3"/>
    <x v="1"/>
    <s v="Fort Myers, Florida, United States"/>
    <s v="Construction"/>
    <s v="Full time"/>
    <x v="469"/>
  </r>
  <r>
    <n v="587"/>
    <x v="3"/>
    <x v="0"/>
    <s v="Vietnam"/>
    <s v="Engineering"/>
    <s v="Full time"/>
    <x v="554"/>
  </r>
  <r>
    <n v="588"/>
    <x v="3"/>
    <x v="1"/>
    <s v="Brussels, Brussels, Belgium"/>
    <s v="Human Resources"/>
    <s v="Full time"/>
    <x v="555"/>
  </r>
  <r>
    <n v="589"/>
    <x v="3"/>
    <x v="0"/>
    <s v="Manila, Metro Manila, Philippines"/>
    <s v="Legal VA"/>
    <s v="Full time"/>
    <x v="556"/>
  </r>
  <r>
    <n v="590"/>
    <x v="3"/>
    <x v="3"/>
    <s v=""/>
    <s v=""/>
    <s v=""/>
    <x v="557"/>
  </r>
  <r>
    <n v="591"/>
    <x v="3"/>
    <x v="1"/>
    <s v="Coldstream, Victoria, Australia"/>
    <s v="Winery"/>
    <s v=""/>
    <x v="558"/>
  </r>
  <r>
    <n v="592"/>
    <x v="3"/>
    <x v="0"/>
    <s v="California, United States"/>
    <s v="Talent"/>
    <s v="Contract"/>
    <x v="559"/>
  </r>
  <r>
    <n v="593"/>
    <x v="3"/>
    <x v="1"/>
    <s v="Dhahran, Eastern Province, Saudi Arabia"/>
    <s v="HCM"/>
    <s v="Full time"/>
    <x v="560"/>
  </r>
  <r>
    <n v="594"/>
    <x v="3"/>
    <x v="1"/>
    <s v="Riyadh, Riyadh Province, Saudi Arabia"/>
    <s v="Agility Logistics Parks"/>
    <s v="Full time"/>
    <x v="561"/>
  </r>
  <r>
    <n v="595"/>
    <x v="3"/>
    <x v="1"/>
    <s v="Central Jakarta, Central Jakarta City, Indonesia"/>
    <s v="AYANA Jakarta"/>
    <s v="Full time"/>
    <x v="562"/>
  </r>
  <r>
    <n v="596"/>
    <x v="3"/>
    <x v="1"/>
    <s v="Pekanbaru, Pekanbaru City, Indonesia"/>
    <s v="People &amp; Culture"/>
    <s v="Other"/>
    <x v="563"/>
  </r>
  <r>
    <n v="597"/>
    <x v="3"/>
    <x v="0"/>
    <s v="United Kingdom"/>
    <s v="Product Design"/>
    <s v="Full time"/>
    <x v="564"/>
  </r>
  <r>
    <n v="598"/>
    <x v="3"/>
    <x v="1"/>
    <s v="Piraeus, Attica, Greece"/>
    <s v="HR+T"/>
    <s v=""/>
    <x v="565"/>
  </r>
  <r>
    <n v="599"/>
    <x v="3"/>
    <x v="1"/>
    <s v="Gurugram, Haryana, India"/>
    <s v="HR"/>
    <s v="Full time"/>
    <x v="566"/>
  </r>
  <r>
    <n v="600"/>
    <x v="3"/>
    <x v="1"/>
    <s v="Riyadh, Riyadh Province, Saudi Arabia"/>
    <s v="HQ - Shared Services, HR"/>
    <s v="Full time"/>
    <x v="567"/>
  </r>
  <r>
    <n v="601"/>
    <x v="3"/>
    <x v="3"/>
    <s v=""/>
    <s v="General &amp; Administrative"/>
    <s v="Full time"/>
    <x v="568"/>
  </r>
  <r>
    <n v="602"/>
    <x v="3"/>
    <x v="1"/>
    <s v="Bengaluru, Karnataka, India"/>
    <s v="Keywords India, HR"/>
    <s v="Full time"/>
    <x v="569"/>
  </r>
  <r>
    <n v="603"/>
    <x v="3"/>
    <x v="1"/>
    <s v="New Delhi, Delhi, India"/>
    <s v=""/>
    <s v=""/>
    <x v="560"/>
  </r>
  <r>
    <n v="604"/>
    <x v="3"/>
    <x v="1"/>
    <s v="Seattle, Washington, United States"/>
    <s v=""/>
    <s v="Full time"/>
    <x v="570"/>
  </r>
  <r>
    <n v="605"/>
    <x v="3"/>
    <x v="2"/>
    <s v="Paddington, England, United Kingdom"/>
    <s v="Human Resources"/>
    <s v="Full time"/>
    <x v="571"/>
  </r>
  <r>
    <n v="606"/>
    <x v="3"/>
    <x v="1"/>
    <s v="New York, New York, United States"/>
    <s v="Growth + Marketing"/>
    <s v="Full time"/>
    <x v="572"/>
  </r>
  <r>
    <n v="607"/>
    <x v="3"/>
    <x v="0"/>
    <s v="Rosslyn, Virginia, United States"/>
    <s v="Sales"/>
    <s v="Full time"/>
    <x v="573"/>
  </r>
  <r>
    <n v="608"/>
    <x v="3"/>
    <x v="1"/>
    <s v="Ndola, Copperbelt Province, Zambia"/>
    <s v="DCP - HR"/>
    <s v="Full time"/>
    <x v="574"/>
  </r>
  <r>
    <n v="609"/>
    <x v="3"/>
    <x v="1"/>
    <s v="Ndola, Copperbelt Province, Zambia"/>
    <s v="DCP - HR"/>
    <s v="Full time"/>
    <x v="575"/>
  </r>
  <r>
    <n v="610"/>
    <x v="3"/>
    <x v="1"/>
    <s v="Victoria, England, United Kingdom"/>
    <s v="Editorial"/>
    <s v="Full time"/>
    <x v="576"/>
  </r>
  <r>
    <n v="611"/>
    <x v="3"/>
    <x v="1"/>
    <s v="Athens, Attica, Greece"/>
    <s v=""/>
    <s v="Full time"/>
    <x v="577"/>
  </r>
  <r>
    <n v="612"/>
    <x v="3"/>
    <x v="0"/>
    <s v="Mesa, Arizona, United States"/>
    <s v="Operations"/>
    <s v="Full time"/>
    <x v="402"/>
  </r>
  <r>
    <n v="613"/>
    <x v="3"/>
    <x v="0"/>
    <s v="Vietnam"/>
    <s v="Engineering"/>
    <s v="Full time"/>
    <x v="578"/>
  </r>
  <r>
    <n v="614"/>
    <x v="3"/>
    <x v="0"/>
    <s v="Australia"/>
    <s v="CX Delivery (Managed &amp; Guided Implementations)"/>
    <s v="Full time"/>
    <x v="579"/>
  </r>
  <r>
    <n v="615"/>
    <x v="3"/>
    <x v="0"/>
    <s v="Ho Chi Minh City, Vietnam"/>
    <s v="Engineering"/>
    <s v="Full time"/>
    <x v="580"/>
  </r>
  <r>
    <n v="616"/>
    <x v="3"/>
    <x v="1"/>
    <s v="Ilorin, Kwara, Nigeria"/>
    <s v="People Operations &amp; Admin"/>
    <s v="Full time"/>
    <x v="581"/>
  </r>
  <r>
    <n v="617"/>
    <x v="3"/>
    <x v="1"/>
    <s v="Mandaluyong, Metro Manila, Philippines"/>
    <s v="General"/>
    <s v="Contract"/>
    <x v="441"/>
  </r>
  <r>
    <n v="618"/>
    <x v="3"/>
    <x v="2"/>
    <s v="London, Ontario, Canada"/>
    <s v="Marketing"/>
    <s v="Full time"/>
    <x v="582"/>
  </r>
  <r>
    <n v="619"/>
    <x v="3"/>
    <x v="1"/>
    <s v="Lusaka, Lusaka Province, Zambia"/>
    <s v="Africa, Programs"/>
    <s v="Full time"/>
    <x v="583"/>
  </r>
  <r>
    <n v="620"/>
    <x v="3"/>
    <x v="1"/>
    <s v="Downingtown, Chester County, United States"/>
    <s v="CCRES Behavioral Health Services, Home &amp; Community Services (Intensive Behavioral Health Services)"/>
    <s v="Part time"/>
    <x v="584"/>
  </r>
  <r>
    <n v="621"/>
    <x v="3"/>
    <x v="1"/>
    <s v="Monterey, California, United States"/>
    <s v="Student, Presidents Office - Student Employee, 1107 - MIDD KWDCCT-Rural Vermont Responses - Student Employee"/>
    <s v=""/>
    <x v="585"/>
  </r>
  <r>
    <n v="622"/>
    <x v="3"/>
    <x v="1"/>
    <s v="London, England, United Kingdom"/>
    <s v=""/>
    <s v="Full time"/>
    <x v="586"/>
  </r>
  <r>
    <n v="623"/>
    <x v="3"/>
    <x v="1"/>
    <s v="London, England, United Kingdom"/>
    <s v="Production"/>
    <s v="Full time"/>
    <x v="587"/>
  </r>
  <r>
    <n v="624"/>
    <x v="3"/>
    <x v="0"/>
    <s v="Vietnam"/>
    <s v="Engineering"/>
    <s v="Full time"/>
    <x v="304"/>
  </r>
  <r>
    <n v="625"/>
    <x v="3"/>
    <x v="0"/>
    <s v="San Francisco, California, United States"/>
    <s v="Operations"/>
    <s v="Full time"/>
    <x v="588"/>
  </r>
  <r>
    <n v="626"/>
    <x v="3"/>
    <x v="1"/>
    <s v="Virginia Beach, Virginia, United States"/>
    <s v="Corporate Strategy"/>
    <s v="Full time"/>
    <x v="589"/>
  </r>
  <r>
    <n v="627"/>
    <x v="3"/>
    <x v="0"/>
    <s v=""/>
    <s v="Development"/>
    <s v="Full time"/>
    <x v="590"/>
  </r>
  <r>
    <n v="628"/>
    <x v="3"/>
    <x v="1"/>
    <s v="Lusaka, Lusaka Province, Zambia"/>
    <s v="Africa, Programs"/>
    <s v="Full time"/>
    <x v="591"/>
  </r>
  <r>
    <n v="629"/>
    <x v="3"/>
    <x v="1"/>
    <s v="Downingtown, Chester County, United States"/>
    <s v="CCRES Behavioral Health Services, Home &amp; Community Services (Intensive Behavioral Health Services)"/>
    <s v="Part time"/>
    <x v="592"/>
  </r>
  <r>
    <n v="630"/>
    <x v="3"/>
    <x v="1"/>
    <s v="Monterey, California, United States"/>
    <s v="Student, Presidents Office - Student Employee, 1107 - MIDD KWDCCT-Rural Vermont Responses - Student Employee"/>
    <s v=""/>
    <x v="169"/>
  </r>
  <r>
    <n v="631"/>
    <x v="3"/>
    <x v="1"/>
    <s v="London, England, United Kingdom"/>
    <s v=""/>
    <s v="Full time"/>
    <x v="593"/>
  </r>
  <r>
    <n v="632"/>
    <x v="3"/>
    <x v="1"/>
    <s v="London, England, United Kingdom"/>
    <s v="Production"/>
    <s v="Full time"/>
    <x v="594"/>
  </r>
  <r>
    <n v="633"/>
    <x v="3"/>
    <x v="0"/>
    <s v="Vietnam"/>
    <s v="Engineering"/>
    <s v="Full time"/>
    <x v="595"/>
  </r>
  <r>
    <n v="634"/>
    <x v="3"/>
    <x v="0"/>
    <s v="San Francisco, California, United States"/>
    <s v="Operations"/>
    <s v="Full time"/>
    <x v="596"/>
  </r>
  <r>
    <n v="635"/>
    <x v="3"/>
    <x v="1"/>
    <s v="Virginia Beach, Virginia, United States"/>
    <s v="Corporate Strategy"/>
    <s v="Full time"/>
    <x v="597"/>
  </r>
  <r>
    <n v="636"/>
    <x v="3"/>
    <x v="0"/>
    <s v=""/>
    <s v="Development"/>
    <s v="Full time"/>
    <x v="598"/>
  </r>
  <r>
    <n v="637"/>
    <x v="3"/>
    <x v="1"/>
    <s v="Erie, Pennsylvania, United States"/>
    <s v="Eriez"/>
    <s v="Full time"/>
    <x v="599"/>
  </r>
  <r>
    <n v="638"/>
    <x v="3"/>
    <x v="2"/>
    <s v="Tampa, Florida, United States"/>
    <s v="Client Services"/>
    <s v="Full time"/>
    <x v="600"/>
  </r>
  <r>
    <n v="639"/>
    <x v="3"/>
    <x v="2"/>
    <s v="Pasig, Metro Manila, Philippines"/>
    <s v="Corporate"/>
    <s v="Full time"/>
    <x v="601"/>
  </r>
  <r>
    <n v="640"/>
    <x v="3"/>
    <x v="1"/>
    <s v="Zürich, Zurich, Switzerland"/>
    <s v="Customer Experience"/>
    <s v="Temporary"/>
    <x v="602"/>
  </r>
  <r>
    <n v="641"/>
    <x v="3"/>
    <x v="0"/>
    <s v="Santa Ana, California, United States"/>
    <s v="Sales"/>
    <s v="Full time"/>
    <x v="603"/>
  </r>
  <r>
    <n v="642"/>
    <x v="3"/>
    <x v="0"/>
    <s v="California, United States"/>
    <s v="Talent"/>
    <s v="Contract"/>
    <x v="604"/>
  </r>
  <r>
    <n v="643"/>
    <x v="3"/>
    <x v="1"/>
    <s v="Athens, Attica, Greece"/>
    <s v=""/>
    <s v=""/>
    <x v="601"/>
  </r>
  <r>
    <n v="644"/>
    <x v="3"/>
    <x v="0"/>
    <s v="Brazil"/>
    <s v="Product and technology"/>
    <s v=""/>
    <x v="605"/>
  </r>
  <r>
    <n v="645"/>
    <x v="3"/>
    <x v="1"/>
    <s v="Kissimmee, Florida, United States"/>
    <s v="Osceola"/>
    <s v="Full time"/>
    <x v="606"/>
  </r>
  <r>
    <n v="646"/>
    <x v="3"/>
    <x v="1"/>
    <s v="Erie, Pennsylvania, United States"/>
    <s v="Eriez"/>
    <s v="Full time"/>
    <x v="607"/>
  </r>
  <r>
    <n v="647"/>
    <x v="3"/>
    <x v="2"/>
    <s v="Tampa, Florida, United States"/>
    <s v="Client Services"/>
    <s v="Full time"/>
    <x v="608"/>
  </r>
  <r>
    <n v="648"/>
    <x v="3"/>
    <x v="2"/>
    <s v="Pasig, Metro Manila, Philippines"/>
    <s v="Corporate"/>
    <s v="Full time"/>
    <x v="609"/>
  </r>
  <r>
    <n v="649"/>
    <x v="3"/>
    <x v="1"/>
    <s v="Zürich, Zurich, Switzerland"/>
    <s v="Customer Experience"/>
    <s v="Temporary"/>
    <x v="610"/>
  </r>
  <r>
    <n v="650"/>
    <x v="3"/>
    <x v="0"/>
    <s v="Santa Ana, California, United States"/>
    <s v="Sales"/>
    <s v="Full time"/>
    <x v="611"/>
  </r>
  <r>
    <n v="651"/>
    <x v="3"/>
    <x v="0"/>
    <s v="California, United States"/>
    <s v="Talent"/>
    <s v="Contract"/>
    <x v="612"/>
  </r>
  <r>
    <n v="652"/>
    <x v="3"/>
    <x v="1"/>
    <s v="Athens, Attica, Greece"/>
    <s v=""/>
    <s v=""/>
    <x v="613"/>
  </r>
  <r>
    <n v="653"/>
    <x v="3"/>
    <x v="0"/>
    <s v="Brazil"/>
    <s v="Product and technology"/>
    <s v=""/>
    <x v="614"/>
  </r>
  <r>
    <n v="654"/>
    <x v="3"/>
    <x v="1"/>
    <s v="Kissimmee, Florida, United States"/>
    <s v="Osceola"/>
    <s v="Full time"/>
    <x v="615"/>
  </r>
  <r>
    <n v="655"/>
    <x v="3"/>
    <x v="1"/>
    <s v="Sydney, New South Wales, Australia"/>
    <s v="Sales"/>
    <s v="Full time"/>
    <x v="616"/>
  </r>
  <r>
    <n v="656"/>
    <x v="3"/>
    <x v="3"/>
    <s v=""/>
    <s v=""/>
    <s v=""/>
    <x v="617"/>
  </r>
  <r>
    <n v="657"/>
    <x v="3"/>
    <x v="2"/>
    <s v="London, England, United Kingdom"/>
    <s v="Communications, Diversity &amp; Inclusion"/>
    <s v="Full time"/>
    <x v="236"/>
  </r>
  <r>
    <n v="658"/>
    <x v="3"/>
    <x v="2"/>
    <s v="London, Ontario, Canada"/>
    <s v="Marketing"/>
    <s v="Full time"/>
    <x v="618"/>
  </r>
  <r>
    <n v="659"/>
    <x v="3"/>
    <x v="0"/>
    <s v="Toronto, Ontario, Canada"/>
    <s v=""/>
    <s v="Full time"/>
    <x v="404"/>
  </r>
  <r>
    <n v="660"/>
    <x v="3"/>
    <x v="1"/>
    <s v="Ota, Ogun, Nigeria"/>
    <s v="Dangote Industries Limited"/>
    <s v="Full time"/>
    <x v="619"/>
  </r>
  <r>
    <n v="661"/>
    <x v="3"/>
    <x v="1"/>
    <s v="Islamabad, Islamabad Capital Territory, Pakistan"/>
    <s v="Human Resources"/>
    <s v="Full time"/>
    <x v="620"/>
  </r>
  <r>
    <n v="662"/>
    <x v="3"/>
    <x v="0"/>
    <s v="Perth, Western Australia, Australia"/>
    <s v="Customer Support"/>
    <s v="Full time"/>
    <x v="621"/>
  </r>
  <r>
    <n v="663"/>
    <x v="3"/>
    <x v="1"/>
    <s v="Lagos, Lagos, Nigeria"/>
    <s v="DCP - HR"/>
    <s v="Full time"/>
    <x v="622"/>
  </r>
  <r>
    <n v="664"/>
    <x v="3"/>
    <x v="1"/>
    <s v="Mumbai, Maharashtra, India"/>
    <s v="Market Unit International, MU Int India"/>
    <s v="Full time"/>
    <x v="623"/>
  </r>
  <r>
    <n v="665"/>
    <x v="3"/>
    <x v="2"/>
    <s v="Milan, Metropolitan City of Milan, Italy"/>
    <s v="Strategy &amp; BI"/>
    <s v="Full time"/>
    <x v="624"/>
  </r>
  <r>
    <n v="666"/>
    <x v="3"/>
    <x v="1"/>
    <s v="Suginami, Tokyo, Japan"/>
    <s v="Game Testing"/>
    <s v="Part time"/>
    <x v="213"/>
  </r>
  <r>
    <n v="667"/>
    <x v="3"/>
    <x v="1"/>
    <s v="Suginami, Tokyo, Japan"/>
    <s v="Game Testing"/>
    <s v="Part time"/>
    <x v="625"/>
  </r>
  <r>
    <n v="668"/>
    <x v="3"/>
    <x v="0"/>
    <s v="Dallas, Texas, United States"/>
    <s v=""/>
    <s v="Full time"/>
    <x v="626"/>
  </r>
  <r>
    <n v="669"/>
    <x v="3"/>
    <x v="0"/>
    <s v="Portland, Oregon, United States"/>
    <s v="Sales"/>
    <s v="Full time"/>
    <x v="627"/>
  </r>
  <r>
    <n v="670"/>
    <x v="3"/>
    <x v="0"/>
    <s v="United States"/>
    <s v="1 - Operations"/>
    <s v="Full time"/>
    <x v="628"/>
  </r>
  <r>
    <n v="671"/>
    <x v="3"/>
    <x v="1"/>
    <s v="Middlebury, Vermont, United States"/>
    <s v="Student, Finance and Administration - Student Employee, Human Resources - Student Employee, 1304 - Human Resources - Student Employee"/>
    <s v=""/>
    <x v="629"/>
  </r>
  <r>
    <n v="672"/>
    <x v="3"/>
    <x v="1"/>
    <s v="Hyderabad, Telangana, India"/>
    <s v="Recruiting"/>
    <s v="Full time"/>
    <x v="630"/>
  </r>
  <r>
    <n v="673"/>
    <x v="3"/>
    <x v="0"/>
    <s v="United States"/>
    <s v="Client Fulfillment"/>
    <s v="Full time"/>
    <x v="631"/>
  </r>
  <r>
    <n v="674"/>
    <x v="3"/>
    <x v="0"/>
    <s v="Vietnam"/>
    <s v="Engineering"/>
    <s v="Full time"/>
    <x v="632"/>
  </r>
  <r>
    <n v="675"/>
    <x v="3"/>
    <x v="0"/>
    <s v="Vietnam"/>
    <s v="Engineering"/>
    <s v="Full time"/>
    <x v="633"/>
  </r>
  <r>
    <n v="676"/>
    <x v="3"/>
    <x v="1"/>
    <s v="New Cairo City, Cairo Governorate, Egypt"/>
    <s v="22"/>
    <s v=""/>
    <x v="634"/>
  </r>
  <r>
    <n v="677"/>
    <x v="3"/>
    <x v="2"/>
    <s v="Birmingham, England, United Kingdom"/>
    <s v="Central Services"/>
    <s v=""/>
    <x v="635"/>
  </r>
  <r>
    <n v="678"/>
    <x v="3"/>
    <x v="3"/>
    <s v="Paiania, Attica, Greece"/>
    <s v="Energy Sector, M Energy Customer Solutions"/>
    <s v="Full time"/>
    <x v="636"/>
  </r>
  <r>
    <n v="679"/>
    <x v="3"/>
    <x v="0"/>
    <s v=""/>
    <s v="Product"/>
    <s v="Full time"/>
    <x v="637"/>
  </r>
  <r>
    <n v="680"/>
    <x v="3"/>
    <x v="1"/>
    <s v="Cairo, Cairo Governorate, Egypt"/>
    <s v="Nationally Recruited Staff"/>
    <s v=""/>
    <x v="638"/>
  </r>
  <r>
    <n v="681"/>
    <x v="3"/>
    <x v="4"/>
    <s v="Bruxelles, Bruxelles, Belgique"/>
    <s v="People"/>
    <s v="Temps plein"/>
    <x v="639"/>
  </r>
  <r>
    <n v="682"/>
    <x v="3"/>
    <x v="1"/>
    <s v="Los Angeles, California, United States"/>
    <s v="Operations LAX"/>
    <s v="Part time"/>
    <x v="640"/>
  </r>
  <r>
    <n v="683"/>
    <x v="3"/>
    <x v="2"/>
    <s v="London, England, United Kingdom"/>
    <s v="Operations &amp; Finance, People"/>
    <s v="Full time"/>
    <x v="641"/>
  </r>
  <r>
    <n v="684"/>
    <x v="3"/>
    <x v="3"/>
    <s v=""/>
    <s v=""/>
    <s v=""/>
    <x v="642"/>
  </r>
  <r>
    <n v="685"/>
    <x v="3"/>
    <x v="1"/>
    <s v="Freetown, Western Area, Sierra Leone"/>
    <s v="International Division"/>
    <s v="Full time"/>
    <x v="28"/>
  </r>
  <r>
    <n v="686"/>
    <x v="3"/>
    <x v="0"/>
    <s v="Rockville, Maryland, United States"/>
    <s v="Client Delivery, Digital Transformation"/>
    <s v="Part time"/>
    <x v="643"/>
  </r>
  <r>
    <n v="687"/>
    <x v="3"/>
    <x v="1"/>
    <s v="Kallithea, Greece"/>
    <s v="Human Resources"/>
    <s v="Full time"/>
    <x v="644"/>
  </r>
  <r>
    <n v="688"/>
    <x v="3"/>
    <x v="2"/>
    <s v="Toronto, Ontario, Canada"/>
    <s v="The Canadian Press"/>
    <s v="Full time"/>
    <x v="645"/>
  </r>
  <r>
    <n v="689"/>
    <x v="3"/>
    <x v="0"/>
    <s v="Boston, Massachusetts, United States"/>
    <s v="Operations, Sales"/>
    <s v="Full time"/>
    <x v="646"/>
  </r>
  <r>
    <n v="690"/>
    <x v="3"/>
    <x v="1"/>
    <s v="Riyadh, Riyadh Province, Saudi Arabia"/>
    <s v="Corporate"/>
    <s v="Full time"/>
    <x v="647"/>
  </r>
  <r>
    <n v="691"/>
    <x v="3"/>
    <x v="2"/>
    <s v="Taguig, Metro Manila, Philippines"/>
    <s v="Sales"/>
    <s v="Full time"/>
    <x v="241"/>
  </r>
  <r>
    <n v="692"/>
    <x v="3"/>
    <x v="2"/>
    <s v="Athens, Attica, Greece"/>
    <s v="Human Resources"/>
    <s v="Full time"/>
    <x v="648"/>
  </r>
  <r>
    <n v="693"/>
    <x v="3"/>
    <x v="1"/>
    <s v="Dallas, Texas, United States"/>
    <s v=""/>
    <s v="Full time"/>
    <x v="649"/>
  </r>
  <r>
    <n v="694"/>
    <x v="3"/>
    <x v="1"/>
    <s v="Valley Stream, New York, United States"/>
    <s v=""/>
    <s v="Full time"/>
    <x v="650"/>
  </r>
  <r>
    <n v="695"/>
    <x v="3"/>
    <x v="1"/>
    <s v="Hyderabad, Telangana, India"/>
    <s v="Human Resources"/>
    <s v="Full time"/>
    <x v="651"/>
  </r>
  <r>
    <n v="696"/>
    <x v="3"/>
    <x v="1"/>
    <s v="Mathern, Chepstow, United Kingdom"/>
    <s v="Ref: 117"/>
    <s v="Full time"/>
    <x v="652"/>
  </r>
  <r>
    <n v="697"/>
    <x v="3"/>
    <x v="0"/>
    <s v="Metro Manila, Philippines"/>
    <s v="Tier 2 PH"/>
    <s v="Full time"/>
    <x v="653"/>
  </r>
  <r>
    <n v="698"/>
    <x v="3"/>
    <x v="1"/>
    <s v="Tampa, Florida, United States"/>
    <s v="Professional Services"/>
    <s v="Full time"/>
    <x v="654"/>
  </r>
  <r>
    <n v="699"/>
    <x v="3"/>
    <x v="3"/>
    <s v=""/>
    <s v=""/>
    <s v=""/>
    <x v="655"/>
  </r>
  <r>
    <n v="700"/>
    <x v="3"/>
    <x v="0"/>
    <s v=""/>
    <s v="HR Department"/>
    <s v="Full time"/>
    <x v="656"/>
  </r>
  <r>
    <n v="701"/>
    <x v="3"/>
    <x v="0"/>
    <s v="London, England, United Kingdom"/>
    <s v="Operations"/>
    <s v="Full time"/>
    <x v="657"/>
  </r>
  <r>
    <n v="702"/>
    <x v="3"/>
    <x v="1"/>
    <s v="Boston, Massachusetts, United States"/>
    <s v="Freelance Recruiters :D"/>
    <s v="Full time"/>
    <x v="658"/>
  </r>
  <r>
    <n v="703"/>
    <x v="3"/>
    <x v="0"/>
    <s v="Philippines"/>
    <s v="INTERNAL"/>
    <s v="Contract"/>
    <x v="555"/>
  </r>
  <r>
    <n v="704"/>
    <x v="3"/>
    <x v="2"/>
    <s v="Washington, District of Columbia, United States"/>
    <s v="Autonomy Products"/>
    <s v="Full time"/>
    <x v="308"/>
  </r>
  <r>
    <n v="705"/>
    <x v="3"/>
    <x v="1"/>
    <s v="Cairo, Cairo Governorate, Egypt"/>
    <s v="Human Resources"/>
    <s v="Full time"/>
    <x v="659"/>
  </r>
  <r>
    <n v="706"/>
    <x v="3"/>
    <x v="1"/>
    <s v="Taguig, Metro Manila, Philippines"/>
    <s v="Legal"/>
    <s v="Full time"/>
    <x v="660"/>
  </r>
  <r>
    <n v="707"/>
    <x v="3"/>
    <x v="0"/>
    <s v="Vietnam"/>
    <s v=""/>
    <s v=""/>
    <x v="661"/>
  </r>
  <r>
    <n v="708"/>
    <x v="3"/>
    <x v="0"/>
    <s v=""/>
    <s v="HR Department"/>
    <s v="Full time"/>
    <x v="662"/>
  </r>
  <r>
    <n v="709"/>
    <x v="3"/>
    <x v="0"/>
    <s v="London, England, United Kingdom"/>
    <s v="Operations"/>
    <s v="Full time"/>
    <x v="663"/>
  </r>
  <r>
    <n v="710"/>
    <x v="3"/>
    <x v="1"/>
    <s v="Boston, Massachusetts, United States"/>
    <s v="Freelance Recruiters :D"/>
    <s v="Full time"/>
    <x v="664"/>
  </r>
  <r>
    <n v="711"/>
    <x v="3"/>
    <x v="0"/>
    <s v="Philippines"/>
    <s v="INTERNAL"/>
    <s v="Contract"/>
    <x v="665"/>
  </r>
  <r>
    <n v="712"/>
    <x v="3"/>
    <x v="2"/>
    <s v="Washington, District of Columbia, United States"/>
    <s v="Autonomy Products"/>
    <s v="Full time"/>
    <x v="666"/>
  </r>
  <r>
    <n v="713"/>
    <x v="3"/>
    <x v="1"/>
    <s v="Cairo, Cairo Governorate, Egypt"/>
    <s v="Human Resources"/>
    <s v="Full time"/>
    <x v="667"/>
  </r>
  <r>
    <n v="714"/>
    <x v="3"/>
    <x v="1"/>
    <s v="Taguig, Metro Manila, Philippines"/>
    <s v="Legal"/>
    <s v="Full time"/>
    <x v="668"/>
  </r>
  <r>
    <n v="715"/>
    <x v="4"/>
    <x v="1"/>
    <s v="Knutsford, England, United Kingdom"/>
    <s v="Technology Tribe"/>
    <s v="Full time"/>
    <x v="669"/>
  </r>
  <r>
    <n v="716"/>
    <x v="4"/>
    <x v="1"/>
    <s v="Madrid, Community of Madrid, Spain"/>
    <s v="Portfolio Company Community"/>
    <s v="Full time"/>
    <x v="670"/>
  </r>
  <r>
    <n v="717"/>
    <x v="4"/>
    <x v="1"/>
    <s v="San Pedro Sula, Cortés Department, Honduras"/>
    <s v="Technology"/>
    <s v="Full time"/>
    <x v="671"/>
  </r>
  <r>
    <n v="718"/>
    <x v="4"/>
    <x v="0"/>
    <s v="Baltimore, Maryland, United States"/>
    <s v=""/>
    <s v="Full time"/>
    <x v="672"/>
  </r>
  <r>
    <n v="719"/>
    <x v="4"/>
    <x v="1"/>
    <s v="Bulverde, Texas, United States"/>
    <s v="Engineering"/>
    <s v="Full time"/>
    <x v="673"/>
  </r>
  <r>
    <n v="720"/>
    <x v="4"/>
    <x v="0"/>
    <s v="United States"/>
    <s v="Federal Civilian"/>
    <s v="Full time"/>
    <x v="674"/>
  </r>
  <r>
    <n v="721"/>
    <x v="4"/>
    <x v="0"/>
    <s v="Scottsdale, Arizona, United States"/>
    <s v="Technology"/>
    <s v="Full time"/>
    <x v="675"/>
  </r>
  <r>
    <n v="722"/>
    <x v="4"/>
    <x v="2"/>
    <s v="Toronto, Ontario, Canada"/>
    <s v="Software Development"/>
    <s v="Full time"/>
    <x v="676"/>
  </r>
  <r>
    <n v="723"/>
    <x v="4"/>
    <x v="1"/>
    <s v="Tehran, Tehran, Iran, Islamic Republic of"/>
    <s v="Engineering"/>
    <s v=""/>
    <x v="677"/>
  </r>
  <r>
    <n v="724"/>
    <x v="4"/>
    <x v="3"/>
    <s v=""/>
    <s v=""/>
    <s v=""/>
    <x v="678"/>
  </r>
  <r>
    <n v="725"/>
    <x v="4"/>
    <x v="1"/>
    <s v="Knutsford, England, United Kingdom"/>
    <s v="Technology Tribe"/>
    <s v="Full time"/>
    <x v="679"/>
  </r>
  <r>
    <n v="726"/>
    <x v="4"/>
    <x v="1"/>
    <s v="Madrid, Community of Madrid, Spain"/>
    <s v="Portfolio Company Community"/>
    <s v="Full time"/>
    <x v="200"/>
  </r>
  <r>
    <n v="727"/>
    <x v="4"/>
    <x v="1"/>
    <s v="San Pedro Sula, Cortés Department, Honduras"/>
    <s v="Technology"/>
    <s v="Full time"/>
    <x v="680"/>
  </r>
  <r>
    <n v="728"/>
    <x v="4"/>
    <x v="0"/>
    <s v="Baltimore, Maryland, United States"/>
    <s v=""/>
    <s v="Full time"/>
    <x v="681"/>
  </r>
  <r>
    <n v="729"/>
    <x v="4"/>
    <x v="1"/>
    <s v="Bulverde, Texas, United States"/>
    <s v="Engineering"/>
    <s v="Full time"/>
    <x v="614"/>
  </r>
  <r>
    <n v="730"/>
    <x v="4"/>
    <x v="0"/>
    <s v="San Francisco, California, United States"/>
    <s v="SFW"/>
    <s v="Full time"/>
    <x v="682"/>
  </r>
  <r>
    <n v="731"/>
    <x v="4"/>
    <x v="1"/>
    <s v="Dubai, Dubai, United Arab Emirates"/>
    <s v="Digital Solutions"/>
    <s v="Full time"/>
    <x v="683"/>
  </r>
  <r>
    <n v="732"/>
    <x v="4"/>
    <x v="1"/>
    <s v="Madrid, Community of Madrid, Spain"/>
    <s v="Engineering"/>
    <s v="Full time"/>
    <x v="684"/>
  </r>
  <r>
    <n v="733"/>
    <x v="4"/>
    <x v="5"/>
    <s v="Montréal, Québec, Canada"/>
    <s v="Développement Logiciel"/>
    <s v="Temps plein"/>
    <x v="685"/>
  </r>
  <r>
    <n v="734"/>
    <x v="4"/>
    <x v="0"/>
    <s v="Scottsdale, Arizona, United States"/>
    <s v="Technology"/>
    <s v="Full time"/>
    <x v="686"/>
  </r>
  <r>
    <n v="735"/>
    <x v="4"/>
    <x v="0"/>
    <s v="Wrocław, Lower Silesian Voivodeship, Poland"/>
    <s v="Ryanair Labs Wrocław"/>
    <s v="Full time"/>
    <x v="687"/>
  </r>
  <r>
    <n v="736"/>
    <x v="4"/>
    <x v="0"/>
    <s v="Spain"/>
    <s v=""/>
    <s v="Full time"/>
    <x v="688"/>
  </r>
  <r>
    <n v="737"/>
    <x v="4"/>
    <x v="1"/>
    <s v="San Pedro Sula, Cortés Department, Honduras"/>
    <s v="Technology"/>
    <s v="Full time"/>
    <x v="689"/>
  </r>
  <r>
    <n v="738"/>
    <x v="4"/>
    <x v="0"/>
    <s v="New York, New York, United States"/>
    <s v="InfoTrack US, Technology"/>
    <s v="Full time"/>
    <x v="690"/>
  </r>
  <r>
    <n v="739"/>
    <x v="4"/>
    <x v="1"/>
    <s v="Cape Town, Western Cape, South Africa"/>
    <s v="Engineering"/>
    <s v="Full time"/>
    <x v="691"/>
  </r>
  <r>
    <n v="740"/>
    <x v="4"/>
    <x v="0"/>
    <s v="San Francisco, California, United States"/>
    <s v="SFW"/>
    <s v="Full time"/>
    <x v="692"/>
  </r>
  <r>
    <n v="741"/>
    <x v="4"/>
    <x v="1"/>
    <s v="Dubai, Dubai, United Arab Emirates"/>
    <s v="Digital Solutions"/>
    <s v="Full time"/>
    <x v="693"/>
  </r>
  <r>
    <n v="742"/>
    <x v="4"/>
    <x v="1"/>
    <s v="Madrid, Community of Madrid, Spain"/>
    <s v="Engineering"/>
    <s v="Full time"/>
    <x v="470"/>
  </r>
  <r>
    <n v="743"/>
    <x v="4"/>
    <x v="5"/>
    <s v="Montréal, Québec, Canada"/>
    <s v="Développement Logiciel"/>
    <s v="Temps plein"/>
    <x v="694"/>
  </r>
  <r>
    <n v="744"/>
    <x v="4"/>
    <x v="0"/>
    <s v="Scottsdale, Arizona, United States"/>
    <s v="Technology"/>
    <s v="Full time"/>
    <x v="695"/>
  </r>
  <r>
    <n v="745"/>
    <x v="4"/>
    <x v="0"/>
    <s v="Wrocław, Lower Silesian Voivodeship, Poland"/>
    <s v="Ryanair Labs Wrocław"/>
    <s v="Full time"/>
    <x v="696"/>
  </r>
  <r>
    <n v="746"/>
    <x v="4"/>
    <x v="0"/>
    <s v="Spain"/>
    <s v=""/>
    <s v="Full time"/>
    <x v="76"/>
  </r>
  <r>
    <n v="747"/>
    <x v="4"/>
    <x v="1"/>
    <s v="San Pedro Sula, Cortés Department, Honduras"/>
    <s v="Technology"/>
    <s v="Full time"/>
    <x v="697"/>
  </r>
  <r>
    <n v="748"/>
    <x v="4"/>
    <x v="0"/>
    <s v="New York, New York, United States"/>
    <s v="InfoTrack US, Technology"/>
    <s v="Full time"/>
    <x v="26"/>
  </r>
  <r>
    <n v="749"/>
    <x v="4"/>
    <x v="1"/>
    <s v="Cape Town, Western Cape, South Africa"/>
    <s v="Engineering"/>
    <s v="Full time"/>
    <x v="698"/>
  </r>
  <r>
    <n v="750"/>
    <x v="4"/>
    <x v="0"/>
    <s v="Spain"/>
    <s v=""/>
    <s v=""/>
    <x v="699"/>
  </r>
  <r>
    <n v="751"/>
    <x v="4"/>
    <x v="1"/>
    <s v="Redmond, Washington, United States"/>
    <s v="Engineering"/>
    <s v="Full time"/>
    <x v="700"/>
  </r>
  <r>
    <n v="752"/>
    <x v="4"/>
    <x v="1"/>
    <s v="Tehran, Tehran, Iran, Islamic Republic of"/>
    <s v="Engineering"/>
    <s v=""/>
    <x v="701"/>
  </r>
  <r>
    <n v="753"/>
    <x v="4"/>
    <x v="2"/>
    <s v="Stockholm, Stockholm County, Sweden"/>
    <s v=""/>
    <s v="Full time"/>
    <x v="700"/>
  </r>
  <r>
    <n v="754"/>
    <x v="4"/>
    <x v="1"/>
    <s v="Dublin, County Dublin, Ireland"/>
    <s v="Ryanair Labs Dublin"/>
    <s v="Full time"/>
    <x v="702"/>
  </r>
  <r>
    <n v="755"/>
    <x v="4"/>
    <x v="0"/>
    <s v="Burlingame, California, United States"/>
    <s v="Engineering"/>
    <s v="Full time"/>
    <x v="703"/>
  </r>
  <r>
    <n v="756"/>
    <x v="4"/>
    <x v="1"/>
    <s v="Mandaluyong, Metro Manila, Philippines"/>
    <s v="IT Development"/>
    <s v=""/>
    <x v="470"/>
  </r>
  <r>
    <n v="757"/>
    <x v="4"/>
    <x v="0"/>
    <s v="Florianópolis, State of Santa Catarina, Brazil"/>
    <s v="DELIV2"/>
    <s v="Full time"/>
    <x v="631"/>
  </r>
  <r>
    <n v="758"/>
    <x v="4"/>
    <x v="3"/>
    <s v=""/>
    <s v=""/>
    <s v=""/>
    <x v="704"/>
  </r>
  <r>
    <n v="759"/>
    <x v="4"/>
    <x v="1"/>
    <s v="Minato City, Tokyo, Japan"/>
    <s v="Mercari"/>
    <s v="Temporary"/>
    <x v="705"/>
  </r>
  <r>
    <n v="760"/>
    <x v="4"/>
    <x v="0"/>
    <s v=""/>
    <s v="Operation"/>
    <s v="Full time"/>
    <x v="706"/>
  </r>
  <r>
    <n v="761"/>
    <x v="4"/>
    <x v="2"/>
    <s v="London, England, United Kingdom"/>
    <s v="Engine, Engineering, Software Engineering"/>
    <s v="Full time"/>
    <x v="707"/>
  </r>
  <r>
    <n v="762"/>
    <x v="4"/>
    <x v="1"/>
    <s v="Kuwait City, Al Asimah Governate, Kuwait"/>
    <s v="PWC Technologies"/>
    <s v="Full time"/>
    <x v="708"/>
  </r>
  <r>
    <n v="763"/>
    <x v="4"/>
    <x v="0"/>
    <s v="Arlington, Virginia, United States"/>
    <s v="Development"/>
    <s v="Full time"/>
    <x v="709"/>
  </r>
  <r>
    <n v="764"/>
    <x v="4"/>
    <x v="0"/>
    <s v="Seville, Andalusia, Spain"/>
    <s v="International BU"/>
    <s v="Full time"/>
    <x v="505"/>
  </r>
  <r>
    <n v="765"/>
    <x v="4"/>
    <x v="0"/>
    <s v="South Africa"/>
    <s v="DevOps"/>
    <s v="Full time"/>
    <x v="710"/>
  </r>
  <r>
    <n v="766"/>
    <x v="4"/>
    <x v="2"/>
    <s v="Durban, KwaZulu-Natal, South Africa"/>
    <s v="MMR Research Worldwide"/>
    <s v="Full time"/>
    <x v="711"/>
  </r>
  <r>
    <n v="767"/>
    <x v="4"/>
    <x v="1"/>
    <s v="San Pedro Sula, Cortés Department, Honduras"/>
    <s v="Technology"/>
    <s v="Full time"/>
    <x v="712"/>
  </r>
  <r>
    <n v="768"/>
    <x v="4"/>
    <x v="1"/>
    <s v="Hyderabad, Telangana, India"/>
    <s v="Technology"/>
    <s v="Full time"/>
    <x v="558"/>
  </r>
  <r>
    <n v="769"/>
    <x v="4"/>
    <x v="2"/>
    <s v="Cardiff, Wales, United Kingdom"/>
    <s v="Technology, Engineering, Software Engineering, Software Engineering"/>
    <s v="Full time"/>
    <x v="713"/>
  </r>
  <r>
    <n v="770"/>
    <x v="4"/>
    <x v="0"/>
    <s v="Cairo, Cairo Governorate, Egypt"/>
    <s v="68"/>
    <s v=""/>
    <x v="714"/>
  </r>
  <r>
    <n v="771"/>
    <x v="4"/>
    <x v="2"/>
    <s v="Eindhoven, North Brabant, Netherlands"/>
    <s v="University Value"/>
    <s v="Full time"/>
    <x v="715"/>
  </r>
  <r>
    <n v="772"/>
    <x v="4"/>
    <x v="2"/>
    <s v="London, England, United Kingdom"/>
    <s v="Engineering, Software Engineering"/>
    <s v="Full time"/>
    <x v="716"/>
  </r>
  <r>
    <n v="773"/>
    <x v="4"/>
    <x v="0"/>
    <s v="United States"/>
    <s v=""/>
    <s v=""/>
    <x v="717"/>
  </r>
  <r>
    <n v="774"/>
    <x v="4"/>
    <x v="0"/>
    <s v="Coimbra, Coimbra District, Portugal"/>
    <s v="Engineering"/>
    <s v="Full time"/>
    <x v="718"/>
  </r>
  <r>
    <n v="775"/>
    <x v="4"/>
    <x v="0"/>
    <s v="Canada"/>
    <s v="Technology"/>
    <s v="Full time"/>
    <x v="719"/>
  </r>
  <r>
    <n v="776"/>
    <x v="4"/>
    <x v="1"/>
    <s v="Kingwood, Texas, United States"/>
    <s v="Kingwood"/>
    <s v="Full time"/>
    <x v="720"/>
  </r>
  <r>
    <n v="777"/>
    <x v="4"/>
    <x v="2"/>
    <s v="Southampton, England, United Kingdom"/>
    <s v="Technology, Engineering, Software Engineering, Software Engineering"/>
    <s v="Full time"/>
    <x v="721"/>
  </r>
  <r>
    <n v="778"/>
    <x v="4"/>
    <x v="1"/>
    <s v="Dubai, Dubai, United Arab Emirates"/>
    <s v="Sales"/>
    <s v="Full time"/>
    <x v="694"/>
  </r>
  <r>
    <n v="779"/>
    <x v="4"/>
    <x v="2"/>
    <s v="Toronto, Ontario, Canada"/>
    <s v="Software Development"/>
    <s v="Full time"/>
    <x v="722"/>
  </r>
  <r>
    <n v="780"/>
    <x v="4"/>
    <x v="0"/>
    <s v="London, London, United Kingdom"/>
    <s v="Platform"/>
    <s v="Full time"/>
    <x v="723"/>
  </r>
  <r>
    <n v="781"/>
    <x v="4"/>
    <x v="3"/>
    <s v="Dublin, County Dublin, Ireland"/>
    <s v="Technology"/>
    <s v="Full time"/>
    <x v="724"/>
  </r>
  <r>
    <n v="782"/>
    <x v="4"/>
    <x v="3"/>
    <s v=""/>
    <s v=""/>
    <s v=""/>
    <x v="153"/>
  </r>
  <r>
    <n v="783"/>
    <x v="4"/>
    <x v="2"/>
    <s v="Washington, District of Columbia, United States"/>
    <s v="Autonomy Products"/>
    <s v="Full time"/>
    <x v="725"/>
  </r>
  <r>
    <n v="784"/>
    <x v="4"/>
    <x v="0"/>
    <s v="Ho Chi Minh City, Vietnam"/>
    <s v="Engineering"/>
    <s v="Full time"/>
    <x v="726"/>
  </r>
  <r>
    <n v="785"/>
    <x v="4"/>
    <x v="5"/>
    <s v="Montréal, Québec, Canada"/>
    <s v="Technologie"/>
    <s v="Temps plein"/>
    <x v="705"/>
  </r>
  <r>
    <n v="786"/>
    <x v="4"/>
    <x v="1"/>
    <s v="London, England, United Kingdom"/>
    <s v="Placement"/>
    <s v="Full time"/>
    <x v="727"/>
  </r>
  <r>
    <n v="787"/>
    <x v="4"/>
    <x v="2"/>
    <s v="Oulu, North Ostrobothnia, Finland"/>
    <s v="Software Engineering"/>
    <s v="Full time"/>
    <x v="728"/>
  </r>
  <r>
    <n v="788"/>
    <x v="4"/>
    <x v="0"/>
    <s v="Brazil"/>
    <s v="TECH"/>
    <s v="Full time"/>
    <x v="729"/>
  </r>
  <r>
    <n v="789"/>
    <x v="4"/>
    <x v="0"/>
    <s v="London, England, United Kingdom"/>
    <s v="Engineering"/>
    <s v="Full time"/>
    <x v="730"/>
  </r>
  <r>
    <n v="790"/>
    <x v="4"/>
    <x v="1"/>
    <s v="Kent, Washington, United States"/>
    <s v="Engineering and Design"/>
    <s v="Full time"/>
    <x v="731"/>
  </r>
  <r>
    <n v="791"/>
    <x v="4"/>
    <x v="1"/>
    <s v="Montreal, Quebec, Canada"/>
    <s v="Engineering"/>
    <s v="Full time"/>
    <x v="481"/>
  </r>
  <r>
    <n v="792"/>
    <x v="4"/>
    <x v="1"/>
    <s v="Bulverde, Texas, United States"/>
    <s v="Engineering"/>
    <s v="Full time"/>
    <x v="732"/>
  </r>
  <r>
    <n v="793"/>
    <x v="4"/>
    <x v="1"/>
    <s v="Austinmer, New South Wales, Australia"/>
    <s v="Trading"/>
    <s v="Full time"/>
    <x v="733"/>
  </r>
  <r>
    <n v="794"/>
    <x v="4"/>
    <x v="0"/>
    <s v="Lakewood, New Jersey, United States"/>
    <s v="Engineering, Software Development"/>
    <s v="Full time"/>
    <x v="734"/>
  </r>
  <r>
    <n v="795"/>
    <x v="4"/>
    <x v="2"/>
    <s v="London, England, United Kingdom"/>
    <s v="Technology, Engineering, Software Engineering, Software Engineering"/>
    <s v="Full time"/>
    <x v="735"/>
  </r>
  <r>
    <n v="796"/>
    <x v="4"/>
    <x v="1"/>
    <s v="Karachi, Sindh, Pakistan"/>
    <s v="Technology - dubizzle labs"/>
    <s v="Full time"/>
    <x v="736"/>
  </r>
  <r>
    <n v="797"/>
    <x v="4"/>
    <x v="0"/>
    <s v="Brazil"/>
    <s v="TECH"/>
    <s v="Full time"/>
    <x v="737"/>
  </r>
  <r>
    <n v="798"/>
    <x v="4"/>
    <x v="0"/>
    <s v="London, England, United Kingdom"/>
    <s v="Engineering"/>
    <s v="Full time"/>
    <x v="738"/>
  </r>
  <r>
    <n v="799"/>
    <x v="4"/>
    <x v="1"/>
    <s v="Kent, Washington, United States"/>
    <s v="Engineering and Design"/>
    <s v="Full time"/>
    <x v="739"/>
  </r>
  <r>
    <n v="800"/>
    <x v="4"/>
    <x v="1"/>
    <s v="Montreal, Quebec, Canada"/>
    <s v="Engineering"/>
    <s v="Full time"/>
    <x v="740"/>
  </r>
  <r>
    <n v="801"/>
    <x v="4"/>
    <x v="1"/>
    <s v="Bulverde, Texas, United States"/>
    <s v="Engineering"/>
    <s v="Full time"/>
    <x v="741"/>
  </r>
  <r>
    <n v="802"/>
    <x v="4"/>
    <x v="1"/>
    <s v="Austinmer, New South Wales, Australia"/>
    <s v="Trading"/>
    <s v="Full time"/>
    <x v="642"/>
  </r>
  <r>
    <n v="803"/>
    <x v="4"/>
    <x v="0"/>
    <s v="Lakewood, New Jersey, United States"/>
    <s v="Engineering, Software Development"/>
    <s v="Full time"/>
    <x v="362"/>
  </r>
  <r>
    <n v="804"/>
    <x v="4"/>
    <x v="2"/>
    <s v="London, England, United Kingdom"/>
    <s v="Technology, Engineering, Software Engineering, Software Engineering"/>
    <s v="Full time"/>
    <x v="640"/>
  </r>
  <r>
    <n v="805"/>
    <x v="4"/>
    <x v="1"/>
    <s v="Karachi, Sindh, Pakistan"/>
    <s v="Technology - dubizzle labs"/>
    <s v="Full time"/>
    <x v="742"/>
  </r>
  <r>
    <n v="806"/>
    <x v="4"/>
    <x v="1"/>
    <s v="Tel Aviv, Tel Aviv District, Israel"/>
    <s v="Israel"/>
    <s v="Full time"/>
    <x v="70"/>
  </r>
  <r>
    <n v="807"/>
    <x v="4"/>
    <x v="1"/>
    <s v="New York, New York, United States"/>
    <s v="Infrastructure"/>
    <s v="Full time"/>
    <x v="743"/>
  </r>
  <r>
    <n v="808"/>
    <x v="4"/>
    <x v="1"/>
    <s v="Cairo, Cairo Governorate, Egypt"/>
    <s v="35"/>
    <s v=""/>
    <x v="744"/>
  </r>
  <r>
    <n v="809"/>
    <x v="4"/>
    <x v="1"/>
    <s v="Tel Aviv-Yafo, Tel Aviv District, Israel"/>
    <s v="R&amp;D"/>
    <s v="Full time"/>
    <x v="410"/>
  </r>
  <r>
    <n v="810"/>
    <x v="4"/>
    <x v="0"/>
    <s v="Ottawa, Ontario, Canada"/>
    <s v="Information Technology"/>
    <s v="Full time"/>
    <x v="745"/>
  </r>
  <r>
    <n v="811"/>
    <x v="4"/>
    <x v="1"/>
    <s v="Cairo, Cairo Governorate, Egypt"/>
    <s v="Software Development"/>
    <s v="Full time"/>
    <x v="746"/>
  </r>
  <r>
    <n v="812"/>
    <x v="4"/>
    <x v="0"/>
    <s v="South Africa"/>
    <s v="DevOps"/>
    <s v="Full time"/>
    <x v="747"/>
  </r>
  <r>
    <n v="813"/>
    <x v="4"/>
    <x v="1"/>
    <s v="Knutsford, England, United Kingdom"/>
    <s v="Technology Tribe"/>
    <s v="Full time"/>
    <x v="748"/>
  </r>
  <r>
    <n v="814"/>
    <x v="4"/>
    <x v="1"/>
    <s v="İstanbul, İstanbul, Turkey"/>
    <s v="Development"/>
    <s v="Full time"/>
    <x v="749"/>
  </r>
  <r>
    <n v="815"/>
    <x v="4"/>
    <x v="1"/>
    <s v="Tel Aviv, Tel Aviv District, Israel"/>
    <s v="Israel"/>
    <s v="Full time"/>
    <x v="750"/>
  </r>
  <r>
    <n v="816"/>
    <x v="4"/>
    <x v="1"/>
    <s v="New York, New York, United States"/>
    <s v="Infrastructure"/>
    <s v="Full time"/>
    <x v="751"/>
  </r>
  <r>
    <n v="817"/>
    <x v="4"/>
    <x v="1"/>
    <s v="Cairo, Cairo Governorate, Egypt"/>
    <s v="35"/>
    <s v=""/>
    <x v="752"/>
  </r>
  <r>
    <n v="818"/>
    <x v="4"/>
    <x v="1"/>
    <s v="Tel Aviv-Yafo, Tel Aviv District, Israel"/>
    <s v="R&amp;D"/>
    <s v="Full time"/>
    <x v="753"/>
  </r>
  <r>
    <n v="819"/>
    <x v="4"/>
    <x v="0"/>
    <s v="Ottawa, Ontario, Canada"/>
    <s v="Information Technology"/>
    <s v="Full time"/>
    <x v="668"/>
  </r>
  <r>
    <n v="820"/>
    <x v="4"/>
    <x v="1"/>
    <s v="Cairo, Cairo Governorate, Egypt"/>
    <s v="Software Development"/>
    <s v="Full time"/>
    <x v="754"/>
  </r>
  <r>
    <n v="821"/>
    <x v="4"/>
    <x v="0"/>
    <s v="South Africa"/>
    <s v="DevOps"/>
    <s v="Full time"/>
    <x v="755"/>
  </r>
  <r>
    <n v="822"/>
    <x v="4"/>
    <x v="1"/>
    <s v="Knutsford, England, United Kingdom"/>
    <s v="Technology Tribe"/>
    <s v="Full time"/>
    <x v="756"/>
  </r>
  <r>
    <n v="823"/>
    <x v="4"/>
    <x v="1"/>
    <s v="İstanbul, İstanbul, Turkey"/>
    <s v="Development"/>
    <s v="Full time"/>
    <x v="757"/>
  </r>
  <r>
    <n v="824"/>
    <x v="4"/>
    <x v="2"/>
    <s v="Shibuya, Tokyo, Japan"/>
    <s v="Engineering"/>
    <s v="Full time"/>
    <x v="758"/>
  </r>
  <r>
    <n v="825"/>
    <x v="4"/>
    <x v="0"/>
    <s v="Texas, United States"/>
    <s v=""/>
    <s v="Full time"/>
    <x v="759"/>
  </r>
  <r>
    <n v="826"/>
    <x v="4"/>
    <x v="0"/>
    <s v="Mandaluyong, Metro Manila, Philippines"/>
    <s v="IT Development"/>
    <s v="Full time"/>
    <x v="457"/>
  </r>
  <r>
    <n v="827"/>
    <x v="4"/>
    <x v="2"/>
    <s v="Tehran, Tehran, Iran, Islamic Republic of"/>
    <s v="Engineering"/>
    <s v=""/>
    <x v="549"/>
  </r>
  <r>
    <n v="828"/>
    <x v="4"/>
    <x v="0"/>
    <s v="United States"/>
    <s v="Federal Civilian"/>
    <s v="Full time"/>
    <x v="760"/>
  </r>
  <r>
    <n v="829"/>
    <x v="4"/>
    <x v="0"/>
    <s v=""/>
    <s v="Engineering Department"/>
    <s v="Contract"/>
    <x v="665"/>
  </r>
  <r>
    <n v="830"/>
    <x v="4"/>
    <x v="1"/>
    <s v="Lagos, Lagos, Nigeria"/>
    <s v="Dancom Technologies Limited"/>
    <s v="Full time"/>
    <x v="761"/>
  </r>
  <r>
    <n v="831"/>
    <x v="4"/>
    <x v="1"/>
    <s v="Cape Town, Western Cape, South Africa"/>
    <s v="DevOps"/>
    <s v="Full time"/>
    <x v="762"/>
  </r>
  <r>
    <n v="832"/>
    <x v="4"/>
    <x v="1"/>
    <s v="Wilayah Persekutuan, Kuala Lumpur, Malaysia"/>
    <s v="Engineering"/>
    <s v="Full time"/>
    <x v="763"/>
  </r>
  <r>
    <n v="833"/>
    <x v="4"/>
    <x v="0"/>
    <s v="Athens, Attica, Greece"/>
    <s v="DELIV1"/>
    <s v="Full time"/>
    <x v="764"/>
  </r>
  <r>
    <n v="834"/>
    <x v="4"/>
    <x v="2"/>
    <s v="Shibuya, Tokyo, Japan"/>
    <s v="Engineering"/>
    <s v="Full time"/>
    <x v="765"/>
  </r>
  <r>
    <n v="835"/>
    <x v="4"/>
    <x v="0"/>
    <s v="Texas, United States"/>
    <s v=""/>
    <s v="Full time"/>
    <x v="766"/>
  </r>
  <r>
    <n v="836"/>
    <x v="4"/>
    <x v="0"/>
    <s v="Mandaluyong, Metro Manila, Philippines"/>
    <s v="IT Development"/>
    <s v="Full time"/>
    <x v="767"/>
  </r>
  <r>
    <n v="837"/>
    <x v="4"/>
    <x v="2"/>
    <s v="Tehran, Tehran, Iran, Islamic Republic of"/>
    <s v="Engineering"/>
    <s v=""/>
    <x v="768"/>
  </r>
  <r>
    <n v="838"/>
    <x v="4"/>
    <x v="0"/>
    <s v="United States"/>
    <s v="Federal Civilian"/>
    <s v="Full time"/>
    <x v="769"/>
  </r>
  <r>
    <n v="839"/>
    <x v="4"/>
    <x v="0"/>
    <s v=""/>
    <s v="Engineering Department"/>
    <s v="Contract"/>
    <x v="770"/>
  </r>
  <r>
    <n v="840"/>
    <x v="4"/>
    <x v="1"/>
    <s v="Lagos, Lagos, Nigeria"/>
    <s v="Dancom Technologies Limited"/>
    <s v="Full time"/>
    <x v="771"/>
  </r>
  <r>
    <n v="841"/>
    <x v="4"/>
    <x v="1"/>
    <s v="Cape Town, Western Cape, South Africa"/>
    <s v="DevOps"/>
    <s v="Full time"/>
    <x v="772"/>
  </r>
  <r>
    <n v="842"/>
    <x v="4"/>
    <x v="1"/>
    <s v="Wilayah Persekutuan, Kuala Lumpur, Malaysia"/>
    <s v="Engineering"/>
    <s v="Full time"/>
    <x v="773"/>
  </r>
  <r>
    <n v="843"/>
    <x v="4"/>
    <x v="0"/>
    <s v="Athens, Attica, Greece"/>
    <s v="DELIV1"/>
    <s v="Full time"/>
    <x v="774"/>
  </r>
  <r>
    <n v="844"/>
    <x v="4"/>
    <x v="1"/>
    <s v="Suginami City, Tokyo, Japan"/>
    <s v="Game development"/>
    <s v="Full time"/>
    <x v="775"/>
  </r>
  <r>
    <n v="845"/>
    <x v="4"/>
    <x v="2"/>
    <s v="London, England, United Kingdom"/>
    <s v="Engineering"/>
    <s v=""/>
    <x v="776"/>
  </r>
  <r>
    <n v="846"/>
    <x v="4"/>
    <x v="0"/>
    <s v="Uruguay"/>
    <s v="Engineering"/>
    <s v="Full time"/>
    <x v="777"/>
  </r>
  <r>
    <n v="847"/>
    <x v="4"/>
    <x v="1"/>
    <s v="Porto, Porto District, Portugal"/>
    <s v="Ryanair Labs Portugal"/>
    <s v=""/>
    <x v="778"/>
  </r>
  <r>
    <n v="848"/>
    <x v="4"/>
    <x v="0"/>
    <s v="Johannesburg South, Gauteng, South Africa"/>
    <s v="DevOps"/>
    <s v="Full time"/>
    <x v="144"/>
  </r>
  <r>
    <n v="849"/>
    <x v="4"/>
    <x v="3"/>
    <s v=""/>
    <s v=""/>
    <s v=""/>
    <x v="779"/>
  </r>
  <r>
    <n v="850"/>
    <x v="4"/>
    <x v="0"/>
    <s v="Ukraine"/>
    <s v="2023"/>
    <s v="Temporary"/>
    <x v="780"/>
  </r>
  <r>
    <n v="851"/>
    <x v="4"/>
    <x v="0"/>
    <s v="Indianapolis, Indiana, United States"/>
    <s v="Product &amp; Engineering"/>
    <s v=""/>
    <x v="781"/>
  </r>
  <r>
    <n v="852"/>
    <x v="4"/>
    <x v="0"/>
    <s v="Boston, Massachusetts, United States"/>
    <s v="Commercial"/>
    <s v="Full time"/>
    <x v="782"/>
  </r>
  <r>
    <n v="853"/>
    <x v="4"/>
    <x v="1"/>
    <s v="Chennai, Tamil Nadu, India"/>
    <s v="Engineering"/>
    <s v="Full time"/>
    <x v="783"/>
  </r>
  <r>
    <n v="854"/>
    <x v="4"/>
    <x v="1"/>
    <s v="Suginami City, Tokyo, Japan"/>
    <s v="Game development"/>
    <s v="Full time"/>
    <x v="784"/>
  </r>
  <r>
    <n v="855"/>
    <x v="4"/>
    <x v="2"/>
    <s v="London, England, United Kingdom"/>
    <s v="Engineering"/>
    <s v=""/>
    <x v="276"/>
  </r>
  <r>
    <n v="856"/>
    <x v="4"/>
    <x v="0"/>
    <s v="Uruguay"/>
    <s v="Engineering"/>
    <s v="Full time"/>
    <x v="785"/>
  </r>
  <r>
    <n v="857"/>
    <x v="4"/>
    <x v="1"/>
    <s v="Porto, Porto District, Portugal"/>
    <s v="Ryanair Labs Portugal"/>
    <s v=""/>
    <x v="786"/>
  </r>
  <r>
    <n v="858"/>
    <x v="4"/>
    <x v="0"/>
    <s v="Johannesburg South, Gauteng, South Africa"/>
    <s v="DevOps"/>
    <s v="Full time"/>
    <x v="224"/>
  </r>
  <r>
    <n v="859"/>
    <x v="4"/>
    <x v="2"/>
    <s v="Mechelen, Flanders, Belgium"/>
    <s v="Product Development"/>
    <s v="Full time"/>
    <x v="787"/>
  </r>
  <r>
    <n v="860"/>
    <x v="4"/>
    <x v="0"/>
    <s v="Ukraine"/>
    <s v="2023"/>
    <s v="Temporary"/>
    <x v="788"/>
  </r>
  <r>
    <n v="861"/>
    <x v="4"/>
    <x v="3"/>
    <s v="Indianapolis, Indiana, United States"/>
    <s v="Product &amp; Engineering"/>
    <s v=""/>
    <x v="140"/>
  </r>
  <r>
    <n v="862"/>
    <x v="4"/>
    <x v="0"/>
    <s v="Boston, Massachusetts, United States"/>
    <s v="Commercial"/>
    <s v="Full time"/>
    <x v="789"/>
  </r>
  <r>
    <n v="863"/>
    <x v="4"/>
    <x v="1"/>
    <s v="Chennai, Tamil Nadu, India"/>
    <s v="Engineering"/>
    <s v="Full time"/>
    <x v="790"/>
  </r>
  <r>
    <n v="864"/>
    <x v="4"/>
    <x v="3"/>
    <s v="Bulverde, Texas, United States"/>
    <s v="Engineering"/>
    <s v="Other"/>
    <x v="791"/>
  </r>
  <r>
    <n v="865"/>
    <x v="4"/>
    <x v="3"/>
    <s v=""/>
    <s v=""/>
    <s v=""/>
    <x v="792"/>
  </r>
  <r>
    <n v="866"/>
    <x v="4"/>
    <x v="1"/>
    <s v="Issaquah, Washington, United States"/>
    <s v="IT"/>
    <s v="Full time"/>
    <x v="793"/>
  </r>
  <r>
    <n v="867"/>
    <x v="4"/>
    <x v="1"/>
    <s v="Riyadh, Riyadh Province, Saudi Arabia"/>
    <s v="Data Management, IT Governance"/>
    <s v="Full time"/>
    <x v="794"/>
  </r>
  <r>
    <n v="868"/>
    <x v="4"/>
    <x v="0"/>
    <s v="New York, New York, United States"/>
    <s v="Information Technology"/>
    <s v="Contract"/>
    <x v="795"/>
  </r>
  <r>
    <n v="869"/>
    <x v="4"/>
    <x v="0"/>
    <s v="Lagos, Lagos, Nigeria"/>
    <s v="Engineering"/>
    <s v="Full time"/>
    <x v="796"/>
  </r>
  <r>
    <n v="870"/>
    <x v="4"/>
    <x v="0"/>
    <s v="Cairo, Cairo Governorate, Egypt"/>
    <s v=""/>
    <s v="Other"/>
    <x v="797"/>
  </r>
  <r>
    <n v="871"/>
    <x v="4"/>
    <x v="3"/>
    <s v="Guadalajara, Jalisco, Mexico"/>
    <s v=""/>
    <s v=""/>
    <x v="798"/>
  </r>
  <r>
    <n v="872"/>
    <x v="4"/>
    <x v="1"/>
    <s v="Wollongong, New South Wales, Australia"/>
    <s v="Trading"/>
    <s v="Full time"/>
    <x v="799"/>
  </r>
  <r>
    <n v="873"/>
    <x v="4"/>
    <x v="3"/>
    <s v="London, England, United Kingdom"/>
    <s v="Technology, Engineering, Software Engineering, Software Engineering"/>
    <s v="Full time"/>
    <x v="800"/>
  </r>
  <r>
    <n v="874"/>
    <x v="4"/>
    <x v="1"/>
    <s v="Bulverde, Texas, United States"/>
    <s v="Engineering"/>
    <s v="Other"/>
    <x v="801"/>
  </r>
  <r>
    <n v="875"/>
    <x v="4"/>
    <x v="3"/>
    <s v=""/>
    <s v=""/>
    <s v=""/>
    <x v="632"/>
  </r>
  <r>
    <n v="876"/>
    <x v="4"/>
    <x v="1"/>
    <s v="Issaquah, Washington, United States"/>
    <s v="IT"/>
    <s v="Full time"/>
    <x v="802"/>
  </r>
  <r>
    <n v="877"/>
    <x v="4"/>
    <x v="1"/>
    <s v="Riyadh, Riyadh Province, Saudi Arabia"/>
    <s v="Data Management, IT Governance"/>
    <s v="Full time"/>
    <x v="803"/>
  </r>
  <r>
    <n v="878"/>
    <x v="4"/>
    <x v="0"/>
    <s v="New York, New York, United States"/>
    <s v=""/>
    <s v="Contract"/>
    <x v="804"/>
  </r>
  <r>
    <n v="879"/>
    <x v="4"/>
    <x v="0"/>
    <s v="Lagos, Lagos, Nigeria"/>
    <s v="Engineering"/>
    <s v="Full time"/>
    <x v="805"/>
  </r>
  <r>
    <n v="880"/>
    <x v="4"/>
    <x v="0"/>
    <s v="Cairo, Cairo Governorate, Egypt"/>
    <s v=""/>
    <s v="Other"/>
    <x v="806"/>
  </r>
  <r>
    <n v="881"/>
    <x v="4"/>
    <x v="3"/>
    <s v=""/>
    <s v=""/>
    <s v=""/>
    <x v="807"/>
  </r>
  <r>
    <n v="882"/>
    <x v="4"/>
    <x v="1"/>
    <s v="Wollongong, New South Wales, Australia"/>
    <s v="Trading"/>
    <s v="Full time"/>
    <x v="808"/>
  </r>
  <r>
    <n v="883"/>
    <x v="4"/>
    <x v="2"/>
    <s v="London, England, United Kingdom"/>
    <s v="Technology, Engineering, Software Engineering, Software Engineering"/>
    <s v="Full time"/>
    <x v="809"/>
  </r>
  <r>
    <n v="884"/>
    <x v="4"/>
    <x v="3"/>
    <s v=""/>
    <s v=""/>
    <s v=""/>
    <x v="810"/>
  </r>
  <r>
    <n v="885"/>
    <x v="4"/>
    <x v="1"/>
    <s v="Sydney, New South Wales, Australia"/>
    <s v="Freelancer.com"/>
    <s v="Temporary"/>
    <x v="811"/>
  </r>
  <r>
    <n v="886"/>
    <x v="4"/>
    <x v="0"/>
    <s v="Orlando, Florida, United States"/>
    <s v="Business Operations"/>
    <s v="Full time"/>
    <x v="569"/>
  </r>
  <r>
    <n v="887"/>
    <x v="4"/>
    <x v="1"/>
    <s v="Bogotá, Bogota, Colombia"/>
    <s v="Production"/>
    <s v="Full time"/>
    <x v="812"/>
  </r>
  <r>
    <n v="888"/>
    <x v="4"/>
    <x v="1"/>
    <s v="Bellville, Cape Town, South Africa"/>
    <s v="Technology"/>
    <s v="Full time"/>
    <x v="813"/>
  </r>
  <r>
    <n v="889"/>
    <x v="4"/>
    <x v="3"/>
    <s v=""/>
    <s v=""/>
    <s v=""/>
    <x v="814"/>
  </r>
  <r>
    <n v="890"/>
    <x v="4"/>
    <x v="0"/>
    <s v="Amman, Amman Governorate, Jordan"/>
    <s v=""/>
    <s v="Full time"/>
    <x v="815"/>
  </r>
  <r>
    <n v="891"/>
    <x v="4"/>
    <x v="1"/>
    <s v="Auckland, Auckland, New Zealand"/>
    <s v="Development"/>
    <s v="Other"/>
    <x v="816"/>
  </r>
  <r>
    <n v="892"/>
    <x v="4"/>
    <x v="0"/>
    <s v="Scottsdale, Arizona, United States"/>
    <s v="Product &amp; Operations"/>
    <s v="Full time"/>
    <x v="817"/>
  </r>
  <r>
    <n v="893"/>
    <x v="4"/>
    <x v="0"/>
    <s v="Minato City, Tokyo, Japan"/>
    <s v="Mercari"/>
    <s v="Full time"/>
    <x v="818"/>
  </r>
  <r>
    <n v="894"/>
    <x v="4"/>
    <x v="3"/>
    <s v=""/>
    <s v=""/>
    <s v=""/>
    <x v="819"/>
  </r>
  <r>
    <n v="895"/>
    <x v="4"/>
    <x v="1"/>
    <s v="Sydney, New South Wales, Australia"/>
    <s v="Freelancer.com"/>
    <s v="Temporary"/>
    <x v="302"/>
  </r>
  <r>
    <n v="896"/>
    <x v="4"/>
    <x v="0"/>
    <s v="Orlando, Florida, United States"/>
    <s v="Business Operations"/>
    <s v="Full time"/>
    <x v="516"/>
  </r>
  <r>
    <n v="897"/>
    <x v="4"/>
    <x v="1"/>
    <s v="Bogotá, Bogota, Colombia"/>
    <s v="Production"/>
    <s v="Full time"/>
    <x v="820"/>
  </r>
  <r>
    <n v="898"/>
    <x v="4"/>
    <x v="1"/>
    <s v="Bellville, Cape Town, South Africa"/>
    <s v="Technology"/>
    <s v="Full time"/>
    <x v="821"/>
  </r>
  <r>
    <n v="899"/>
    <x v="4"/>
    <x v="1"/>
    <s v="Bengaluru, Karnataka, India"/>
    <s v=""/>
    <s v=""/>
    <x v="822"/>
  </r>
  <r>
    <n v="900"/>
    <x v="4"/>
    <x v="0"/>
    <s v="Amman, Amman Governorate, Jordan"/>
    <s v=""/>
    <s v="Full time"/>
    <x v="823"/>
  </r>
  <r>
    <n v="901"/>
    <x v="4"/>
    <x v="1"/>
    <s v="Auckland, Auckland, New Zealand"/>
    <s v="Development"/>
    <s v="Other"/>
    <x v="824"/>
  </r>
  <r>
    <n v="902"/>
    <x v="4"/>
    <x v="0"/>
    <s v="Scottsdale, Arizona, United States"/>
    <s v="Product &amp; Operations"/>
    <s v="Full time"/>
    <x v="825"/>
  </r>
  <r>
    <n v="903"/>
    <x v="4"/>
    <x v="0"/>
    <s v="Minato City, Tokyo, Japan"/>
    <s v="Mercari"/>
    <s v="Full time"/>
    <x v="826"/>
  </r>
  <r>
    <n v="904"/>
    <x v="5"/>
    <x v="0"/>
    <s v="India"/>
    <s v="Marketing"/>
    <s v="Full time"/>
    <x v="827"/>
  </r>
  <r>
    <n v="905"/>
    <x v="5"/>
    <x v="2"/>
    <s v="Montreal, Quebec, Canada"/>
    <s v="Design"/>
    <s v="Full time"/>
    <x v="828"/>
  </r>
  <r>
    <n v="906"/>
    <x v="5"/>
    <x v="1"/>
    <s v="Riyadh, Riyadh Province, Saudi Arabia"/>
    <s v="Commercial"/>
    <s v="Contract"/>
    <x v="829"/>
  </r>
  <r>
    <n v="907"/>
    <x v="5"/>
    <x v="1"/>
    <s v="New York, New York, United States"/>
    <s v=""/>
    <s v="Full time"/>
    <x v="830"/>
  </r>
  <r>
    <n v="908"/>
    <x v="5"/>
    <x v="0"/>
    <s v="Indonesia"/>
    <s v="Recruiting Team"/>
    <s v="Full time"/>
    <x v="529"/>
  </r>
  <r>
    <n v="909"/>
    <x v="5"/>
    <x v="3"/>
    <s v=""/>
    <s v=""/>
    <s v=""/>
    <x v="831"/>
  </r>
  <r>
    <n v="910"/>
    <x v="5"/>
    <x v="0"/>
    <s v="Minato City, Tokyo, Japan"/>
    <s v="Mercari"/>
    <s v="Full time"/>
    <x v="629"/>
  </r>
  <r>
    <n v="911"/>
    <x v="5"/>
    <x v="0"/>
    <s v="London, England, United Kingdom"/>
    <s v="Design, Design UK"/>
    <s v="Full time"/>
    <x v="832"/>
  </r>
  <r>
    <n v="912"/>
    <x v="5"/>
    <x v="2"/>
    <s v="Maadi, Al Qāhirah, Egypt"/>
    <s v="Software Development"/>
    <s v="Full time"/>
    <x v="833"/>
  </r>
  <r>
    <n v="913"/>
    <x v="5"/>
    <x v="0"/>
    <s v="Riyadh, Riyadh Province, Saudi Arabia"/>
    <s v="Product Development"/>
    <s v="Full time"/>
    <x v="834"/>
  </r>
  <r>
    <n v="914"/>
    <x v="5"/>
    <x v="0"/>
    <s v="India"/>
    <s v="Marketing"/>
    <s v="Full time"/>
    <x v="835"/>
  </r>
  <r>
    <n v="915"/>
    <x v="5"/>
    <x v="2"/>
    <s v="Montreal, Quebec, Canada"/>
    <s v="Design"/>
    <s v="Full time"/>
    <x v="836"/>
  </r>
  <r>
    <n v="916"/>
    <x v="5"/>
    <x v="0"/>
    <s v="Philippines"/>
    <s v=""/>
    <s v=""/>
    <x v="837"/>
  </r>
  <r>
    <n v="917"/>
    <x v="5"/>
    <x v="0"/>
    <s v="Indonesia"/>
    <s v="Recruiting Team"/>
    <s v="Full time"/>
    <x v="838"/>
  </r>
  <r>
    <n v="918"/>
    <x v="5"/>
    <x v="0"/>
    <s v="Makati, Metro Manila, Philippines"/>
    <s v="Fulfilment"/>
    <s v="Full time"/>
    <x v="839"/>
  </r>
  <r>
    <n v="919"/>
    <x v="5"/>
    <x v="0"/>
    <s v="Riyadh, Riyadh Province, Saudi Arabia"/>
    <s v="Product Development"/>
    <s v="Full time"/>
    <x v="840"/>
  </r>
  <r>
    <n v="920"/>
    <x v="5"/>
    <x v="2"/>
    <s v="Maadi, Al Qāhirah, Egypt"/>
    <s v="Software Development"/>
    <s v="Full time"/>
    <x v="841"/>
  </r>
  <r>
    <n v="921"/>
    <x v="5"/>
    <x v="2"/>
    <s v="Phra Khanong, Bangkok, Thailand"/>
    <s v="Development"/>
    <s v="Full time"/>
    <x v="842"/>
  </r>
  <r>
    <n v="922"/>
    <x v="5"/>
    <x v="0"/>
    <s v="London, England, United Kingdom"/>
    <s v="Design, Design UK"/>
    <s v="Full time"/>
    <x v="843"/>
  </r>
  <r>
    <n v="923"/>
    <x v="5"/>
    <x v="0"/>
    <s v="Manila, Metro Manila, Philippines"/>
    <s v="Active Pooling"/>
    <s v="Full time"/>
    <x v="844"/>
  </r>
  <r>
    <n v="924"/>
    <x v="5"/>
    <x v="0"/>
    <s v="India"/>
    <s v="Marketing"/>
    <s v="Full time"/>
    <x v="845"/>
  </r>
  <r>
    <n v="925"/>
    <x v="5"/>
    <x v="2"/>
    <s v="Montreal, Quebec, Canada"/>
    <s v="Design"/>
    <s v="Full time"/>
    <x v="846"/>
  </r>
  <r>
    <n v="926"/>
    <x v="5"/>
    <x v="0"/>
    <s v="Philippines"/>
    <s v=""/>
    <s v=""/>
    <x v="847"/>
  </r>
  <r>
    <n v="927"/>
    <x v="5"/>
    <x v="0"/>
    <s v="Indonesia"/>
    <s v="Recruiting Team"/>
    <s v="Full time"/>
    <x v="458"/>
  </r>
  <r>
    <n v="928"/>
    <x v="5"/>
    <x v="0"/>
    <s v="Makati, Metro Manila, Philippines"/>
    <s v="Fulfilment"/>
    <s v="Full time"/>
    <x v="848"/>
  </r>
  <r>
    <n v="929"/>
    <x v="5"/>
    <x v="0"/>
    <s v="Riyadh, Riyadh Province, Saudi Arabia"/>
    <s v="Product Development"/>
    <s v="Full time"/>
    <x v="849"/>
  </r>
  <r>
    <n v="930"/>
    <x v="5"/>
    <x v="2"/>
    <s v="Maadi, Al Qāhirah, Egypt"/>
    <s v="Software Development"/>
    <s v="Full time"/>
    <x v="850"/>
  </r>
  <r>
    <n v="931"/>
    <x v="5"/>
    <x v="2"/>
    <s v="Phra Khanong, Bangkok, Thailand"/>
    <s v="Development"/>
    <s v="Full time"/>
    <x v="851"/>
  </r>
  <r>
    <n v="932"/>
    <x v="5"/>
    <x v="0"/>
    <s v="London, England, United Kingdom"/>
    <s v="Design, Design UK"/>
    <s v="Full time"/>
    <x v="852"/>
  </r>
  <r>
    <n v="933"/>
    <x v="5"/>
    <x v="0"/>
    <s v="Manila, Metro Manila, Philippines"/>
    <s v="Active Pooling"/>
    <s v="Full time"/>
    <x v="853"/>
  </r>
  <r>
    <n v="934"/>
    <x v="5"/>
    <x v="0"/>
    <s v="Riyadh, Riyadh Province, Saudi Arabia"/>
    <s v="Product Development"/>
    <s v="Full time"/>
    <x v="854"/>
  </r>
  <r>
    <n v="935"/>
    <x v="5"/>
    <x v="1"/>
    <s v="Riyadh, Riyadh Province, Saudi Arabia"/>
    <s v="Bayut KSA, Internal Audit &amp; Compliance"/>
    <s v=""/>
    <x v="855"/>
  </r>
  <r>
    <n v="936"/>
    <x v="5"/>
    <x v="0"/>
    <s v="Recife, State of Pernambuco, Brazil"/>
    <s v="Art"/>
    <s v="Full time"/>
    <x v="856"/>
  </r>
  <r>
    <n v="937"/>
    <x v="5"/>
    <x v="0"/>
    <s v="Hove, Brighton and Hove, United Kingdom"/>
    <s v="Art"/>
    <s v="Full time"/>
    <x v="857"/>
  </r>
  <r>
    <n v="938"/>
    <x v="5"/>
    <x v="2"/>
    <s v="Maadi, Al Qāhirah, Egypt"/>
    <s v="Software Development"/>
    <s v="Full time"/>
    <x v="858"/>
  </r>
  <r>
    <n v="939"/>
    <x v="5"/>
    <x v="1"/>
    <s v="London, England, United Kingdom"/>
    <s v=""/>
    <s v="Full time"/>
    <x v="377"/>
  </r>
  <r>
    <n v="940"/>
    <x v="5"/>
    <x v="0"/>
    <s v="London, England, United Kingdom"/>
    <s v="Design, Design UK"/>
    <s v="Full time"/>
    <x v="859"/>
  </r>
  <r>
    <n v="941"/>
    <x v="5"/>
    <x v="0"/>
    <s v="Scottsdale, Arizona, United States"/>
    <s v="Technology"/>
    <s v="Full time"/>
    <x v="860"/>
  </r>
  <r>
    <n v="942"/>
    <x v="5"/>
    <x v="2"/>
    <s v="Maadi, Al Qāhirah, Egypt"/>
    <s v="Software Development"/>
    <s v="Full time"/>
    <x v="861"/>
  </r>
  <r>
    <n v="943"/>
    <x v="5"/>
    <x v="1"/>
    <s v="New York, New York, United States"/>
    <s v=""/>
    <s v="Full time"/>
    <x v="862"/>
  </r>
  <r>
    <n v="944"/>
    <x v="5"/>
    <x v="0"/>
    <s v="Riyadh, Riyadh Province, Saudi Arabia"/>
    <s v="Product Development"/>
    <s v="Full time"/>
    <x v="863"/>
  </r>
  <r>
    <n v="945"/>
    <x v="5"/>
    <x v="1"/>
    <s v="Riyadh, Riyadh Province, Saudi Arabia"/>
    <s v="Bayut KSA, Internal Audit &amp; Compliance"/>
    <s v=""/>
    <x v="864"/>
  </r>
  <r>
    <n v="946"/>
    <x v="5"/>
    <x v="0"/>
    <s v="Recife, State of Pernambuco, Brazil"/>
    <s v="Art"/>
    <s v="Full time"/>
    <x v="865"/>
  </r>
  <r>
    <n v="947"/>
    <x v="5"/>
    <x v="0"/>
    <s v="Hove, Brighton and Hove, United Kingdom"/>
    <s v="Art"/>
    <s v="Full time"/>
    <x v="866"/>
  </r>
  <r>
    <n v="948"/>
    <x v="5"/>
    <x v="2"/>
    <s v="Maadi, Al Qāhirah, Egypt"/>
    <s v="Software Development"/>
    <s v="Full time"/>
    <x v="867"/>
  </r>
  <r>
    <n v="949"/>
    <x v="5"/>
    <x v="1"/>
    <s v="London, England, United Kingdom"/>
    <s v=""/>
    <s v="Full time"/>
    <x v="868"/>
  </r>
  <r>
    <n v="950"/>
    <x v="5"/>
    <x v="0"/>
    <s v="London, England, United Kingdom"/>
    <s v="Design, Design UK"/>
    <s v="Full time"/>
    <x v="526"/>
  </r>
  <r>
    <n v="951"/>
    <x v="5"/>
    <x v="0"/>
    <s v="Scottsdale, Arizona, United States"/>
    <s v="Technology"/>
    <s v="Full time"/>
    <x v="869"/>
  </r>
  <r>
    <n v="952"/>
    <x v="5"/>
    <x v="2"/>
    <s v="Maadi, Al Qāhirah, Egypt"/>
    <s v="Software Development"/>
    <s v="Full time"/>
    <x v="870"/>
  </r>
  <r>
    <n v="953"/>
    <x v="5"/>
    <x v="1"/>
    <s v="New York, New York, United States"/>
    <s v=""/>
    <s v="Full time"/>
    <x v="871"/>
  </r>
  <r>
    <n v="954"/>
    <x v="5"/>
    <x v="1"/>
    <s v="Dubai, Dubai, United Arab Emirates"/>
    <s v="Digital Solutions"/>
    <s v="Full time"/>
    <x v="872"/>
  </r>
  <r>
    <n v="955"/>
    <x v="5"/>
    <x v="0"/>
    <s v="United States"/>
    <s v=""/>
    <s v="Contract"/>
    <x v="873"/>
  </r>
  <r>
    <n v="956"/>
    <x v="5"/>
    <x v="0"/>
    <s v=""/>
    <s v="Development"/>
    <s v="Full time"/>
    <x v="874"/>
  </r>
  <r>
    <n v="957"/>
    <x v="5"/>
    <x v="2"/>
    <s v="Montreal, Quebec, Canada"/>
    <s v="Design"/>
    <s v="Full time"/>
    <x v="167"/>
  </r>
  <r>
    <n v="958"/>
    <x v="5"/>
    <x v="0"/>
    <s v="United States"/>
    <s v="Creative Team"/>
    <s v="Full time"/>
    <x v="875"/>
  </r>
  <r>
    <n v="959"/>
    <x v="5"/>
    <x v="0"/>
    <s v="Melbourne, Victoria, Australia"/>
    <s v="Product"/>
    <s v="Full time"/>
    <x v="876"/>
  </r>
  <r>
    <n v="960"/>
    <x v="5"/>
    <x v="2"/>
    <s v="Montreal, Quebec, Canada"/>
    <s v="Design"/>
    <s v="Full time"/>
    <x v="877"/>
  </r>
  <r>
    <n v="961"/>
    <x v="5"/>
    <x v="1"/>
    <s v="Zürich, Zurich, Switzerland"/>
    <s v="Design"/>
    <s v="Full time"/>
    <x v="878"/>
  </r>
  <r>
    <n v="962"/>
    <x v="5"/>
    <x v="0"/>
    <s v="Palm Beach Gardens, Florida, United States"/>
    <s v="Product"/>
    <s v="Full time"/>
    <x v="879"/>
  </r>
  <r>
    <n v="963"/>
    <x v="5"/>
    <x v="1"/>
    <s v="Barcelona, Catalonia, Spain"/>
    <s v="Product"/>
    <s v=""/>
    <x v="880"/>
  </r>
  <r>
    <n v="964"/>
    <x v="5"/>
    <x v="1"/>
    <s v="Dubai, Dubai, United Arab Emirates"/>
    <s v="Digital Solutions"/>
    <s v="Full time"/>
    <x v="881"/>
  </r>
  <r>
    <n v="965"/>
    <x v="5"/>
    <x v="0"/>
    <s v="United States"/>
    <s v=""/>
    <s v="Contract"/>
    <x v="336"/>
  </r>
  <r>
    <n v="966"/>
    <x v="5"/>
    <x v="0"/>
    <s v=""/>
    <s v="Development"/>
    <s v="Full time"/>
    <x v="882"/>
  </r>
  <r>
    <n v="967"/>
    <x v="5"/>
    <x v="2"/>
    <s v="Montreal, Quebec, Canada"/>
    <s v="Design"/>
    <s v="Full time"/>
    <x v="883"/>
  </r>
  <r>
    <n v="968"/>
    <x v="5"/>
    <x v="0"/>
    <s v="United States"/>
    <s v="Creative Team"/>
    <s v="Full time"/>
    <x v="25"/>
  </r>
  <r>
    <n v="969"/>
    <x v="5"/>
    <x v="0"/>
    <s v="Melbourne, Victoria, Australia"/>
    <s v="Product"/>
    <s v="Full time"/>
    <x v="884"/>
  </r>
  <r>
    <n v="970"/>
    <x v="5"/>
    <x v="2"/>
    <s v="Montreal, Quebec, Canada"/>
    <s v="Design"/>
    <s v="Full time"/>
    <x v="425"/>
  </r>
  <r>
    <n v="971"/>
    <x v="5"/>
    <x v="1"/>
    <s v="Zürich, Zurich, Switzerland"/>
    <s v="Design"/>
    <s v="Full time"/>
    <x v="885"/>
  </r>
  <r>
    <n v="972"/>
    <x v="5"/>
    <x v="0"/>
    <s v="Palm Beach Gardens, Florida, United States"/>
    <s v="Product"/>
    <s v="Full time"/>
    <x v="886"/>
  </r>
  <r>
    <n v="973"/>
    <x v="5"/>
    <x v="1"/>
    <s v="Barcelona, Catalonia, Spain"/>
    <s v="Product"/>
    <s v=""/>
    <x v="887"/>
  </r>
  <r>
    <n v="974"/>
    <x v="5"/>
    <x v="0"/>
    <s v="Cairo, Cairo Governorate, Egypt"/>
    <s v="Product and Design"/>
    <s v="Full time"/>
    <x v="888"/>
  </r>
  <r>
    <n v="975"/>
    <x v="5"/>
    <x v="0"/>
    <s v=""/>
    <s v=""/>
    <s v=""/>
    <x v="889"/>
  </r>
  <r>
    <n v="976"/>
    <x v="5"/>
    <x v="0"/>
    <s v="Indonesia"/>
    <s v="Recruiting Team"/>
    <s v="Full time"/>
    <x v="890"/>
  </r>
  <r>
    <n v="977"/>
    <x v="5"/>
    <x v="1"/>
    <s v="Los Angeles, California, United States"/>
    <s v="Art"/>
    <s v="Full time"/>
    <x v="891"/>
  </r>
  <r>
    <n v="978"/>
    <x v="5"/>
    <x v="0"/>
    <s v="Japan"/>
    <s v="Create Talent Community"/>
    <s v="Full time"/>
    <x v="892"/>
  </r>
  <r>
    <n v="979"/>
    <x v="5"/>
    <x v="0"/>
    <s v="Indonesia"/>
    <s v="Recruiting Team"/>
    <s v="Full time"/>
    <x v="893"/>
  </r>
  <r>
    <n v="980"/>
    <x v="5"/>
    <x v="0"/>
    <s v="Manila, Metro Manila, Philippines"/>
    <s v="Active Pooling"/>
    <s v="Full time"/>
    <x v="894"/>
  </r>
  <r>
    <n v="981"/>
    <x v="5"/>
    <x v="3"/>
    <s v=""/>
    <s v=""/>
    <s v=""/>
    <x v="895"/>
  </r>
  <r>
    <n v="982"/>
    <x v="5"/>
    <x v="0"/>
    <s v="Indonesia"/>
    <s v="Recruiting Team"/>
    <s v="Full time"/>
    <x v="896"/>
  </r>
  <r>
    <n v="983"/>
    <x v="5"/>
    <x v="0"/>
    <s v="China"/>
    <s v="Create Talent Community"/>
    <s v="Full time"/>
    <x v="897"/>
  </r>
  <r>
    <n v="984"/>
    <x v="5"/>
    <x v="0"/>
    <s v="Cairo, Cairo Governorate, Egypt"/>
    <s v="Product and Design"/>
    <s v="Full time"/>
    <x v="898"/>
  </r>
  <r>
    <n v="985"/>
    <x v="5"/>
    <x v="0"/>
    <s v=""/>
    <s v=""/>
    <s v=""/>
    <x v="223"/>
  </r>
  <r>
    <n v="986"/>
    <x v="5"/>
    <x v="0"/>
    <s v="Indonesia"/>
    <s v="Recruiting Team"/>
    <s v="Full time"/>
    <x v="899"/>
  </r>
  <r>
    <n v="987"/>
    <x v="5"/>
    <x v="1"/>
    <s v="Los Angeles, California, United States"/>
    <s v="Art"/>
    <s v="Full time"/>
    <x v="900"/>
  </r>
  <r>
    <n v="988"/>
    <x v="5"/>
    <x v="3"/>
    <s v="Japan"/>
    <s v="Create Talent Community"/>
    <s v="Full time"/>
    <x v="629"/>
  </r>
  <r>
    <n v="989"/>
    <x v="5"/>
    <x v="0"/>
    <s v="Indonesia"/>
    <s v="Recruiting Team"/>
    <s v="Full time"/>
    <x v="901"/>
  </r>
  <r>
    <n v="990"/>
    <x v="5"/>
    <x v="0"/>
    <s v="Manila, Metro Manila, Philippines"/>
    <s v="Active Pooling"/>
    <s v="Full time"/>
    <x v="902"/>
  </r>
  <r>
    <n v="991"/>
    <x v="5"/>
    <x v="3"/>
    <s v=""/>
    <s v=""/>
    <s v=""/>
    <x v="622"/>
  </r>
  <r>
    <n v="992"/>
    <x v="5"/>
    <x v="0"/>
    <s v="Indonesia"/>
    <s v="Recruiting Team"/>
    <s v="Full time"/>
    <x v="903"/>
  </r>
  <r>
    <n v="993"/>
    <x v="5"/>
    <x v="0"/>
    <s v="China"/>
    <s v="Create Talent Community"/>
    <s v="Full time"/>
    <x v="904"/>
  </r>
  <r>
    <n v="994"/>
    <x v="5"/>
    <x v="2"/>
    <s v="Bangalore, Karnataka, India"/>
    <s v="ENG"/>
    <s v="Full time"/>
    <x v="905"/>
  </r>
  <r>
    <n v="995"/>
    <x v="5"/>
    <x v="1"/>
    <s v="Guildford, England, United Kingdom"/>
    <s v="Programming"/>
    <s v="Full time"/>
    <x v="95"/>
  </r>
  <r>
    <n v="996"/>
    <x v="5"/>
    <x v="0"/>
    <s v="United States"/>
    <s v="Design"/>
    <s v="Full time"/>
    <x v="906"/>
  </r>
  <r>
    <n v="997"/>
    <x v="5"/>
    <x v="3"/>
    <s v=""/>
    <s v=""/>
    <s v=""/>
    <x v="907"/>
  </r>
  <r>
    <n v="998"/>
    <x v="5"/>
    <x v="1"/>
    <s v="Vancouver, British Columbia, Canada"/>
    <s v=""/>
    <s v="Full time"/>
    <x v="908"/>
  </r>
  <r>
    <n v="999"/>
    <x v="5"/>
    <x v="0"/>
    <s v="Lisbon, Lisbon, Portugal"/>
    <s v="Engineering"/>
    <s v="Full time"/>
    <x v="273"/>
  </r>
  <r>
    <n v="1000"/>
    <x v="5"/>
    <x v="0"/>
    <s v=""/>
    <s v="Production"/>
    <s v="Full time"/>
    <x v="909"/>
  </r>
  <r>
    <n v="1001"/>
    <x v="5"/>
    <x v="0"/>
    <s v="Paris, Île-de-France, France"/>
    <s v="Product"/>
    <s v=""/>
    <x v="910"/>
  </r>
  <r>
    <n v="1002"/>
    <x v="5"/>
    <x v="0"/>
    <s v="Peru"/>
    <s v="Engineering"/>
    <s v="Full time"/>
    <x v="911"/>
  </r>
  <r>
    <n v="1003"/>
    <x v="5"/>
    <x v="0"/>
    <s v="Philippines"/>
    <s v=""/>
    <s v=""/>
    <x v="912"/>
  </r>
  <r>
    <n v="1004"/>
    <x v="5"/>
    <x v="2"/>
    <s v="Bangalore, Karnataka, India"/>
    <s v="ENG"/>
    <s v="Full time"/>
    <x v="913"/>
  </r>
  <r>
    <n v="1005"/>
    <x v="5"/>
    <x v="1"/>
    <s v="Guildford, England, United Kingdom"/>
    <s v="Programming"/>
    <s v="Full time"/>
    <x v="914"/>
  </r>
  <r>
    <n v="1006"/>
    <x v="5"/>
    <x v="0"/>
    <s v="United States"/>
    <s v="Design"/>
    <s v="Full time"/>
    <x v="915"/>
  </r>
  <r>
    <n v="1007"/>
    <x v="5"/>
    <x v="3"/>
    <s v=""/>
    <s v=""/>
    <s v=""/>
    <x v="916"/>
  </r>
  <r>
    <n v="1008"/>
    <x v="5"/>
    <x v="1"/>
    <s v="Vancouver, British Columbia, Canada"/>
    <s v=""/>
    <s v="Full time"/>
    <x v="917"/>
  </r>
  <r>
    <n v="1009"/>
    <x v="5"/>
    <x v="0"/>
    <s v="Lisbon, Lisbon, Portugal"/>
    <s v="Engineering"/>
    <s v="Full time"/>
    <x v="911"/>
  </r>
  <r>
    <n v="1010"/>
    <x v="5"/>
    <x v="0"/>
    <s v=""/>
    <s v="Production"/>
    <s v="Full time"/>
    <x v="918"/>
  </r>
  <r>
    <n v="1011"/>
    <x v="5"/>
    <x v="0"/>
    <s v="Paris, Île-de-France, France"/>
    <s v="Product"/>
    <s v=""/>
    <x v="919"/>
  </r>
  <r>
    <n v="1012"/>
    <x v="5"/>
    <x v="0"/>
    <s v="Peru"/>
    <s v="Engineering"/>
    <s v="Full time"/>
    <x v="920"/>
  </r>
  <r>
    <n v="1013"/>
    <x v="5"/>
    <x v="0"/>
    <s v="Philippines"/>
    <s v=""/>
    <s v=""/>
    <x v="921"/>
  </r>
  <r>
    <n v="1014"/>
    <x v="5"/>
    <x v="0"/>
    <s v="Greece"/>
    <s v="Product"/>
    <s v="Full time"/>
    <x v="922"/>
  </r>
  <r>
    <n v="1015"/>
    <x v="5"/>
    <x v="1"/>
    <s v="United Kingdom"/>
    <s v="Talent Pools, Product &amp; Tech"/>
    <s v="Full time"/>
    <x v="923"/>
  </r>
  <r>
    <n v="1016"/>
    <x v="5"/>
    <x v="0"/>
    <s v="United Kingdom"/>
    <s v="Customer Success"/>
    <s v="Full time"/>
    <x v="924"/>
  </r>
  <r>
    <n v="1017"/>
    <x v="5"/>
    <x v="1"/>
    <s v="New York, New York, United States"/>
    <s v=""/>
    <s v="Full time"/>
    <x v="925"/>
  </r>
  <r>
    <n v="1018"/>
    <x v="5"/>
    <x v="1"/>
    <s v="Amman, Amman Governorate, Jordan"/>
    <s v="Technology"/>
    <s v="Full time"/>
    <x v="926"/>
  </r>
  <r>
    <n v="1019"/>
    <x v="5"/>
    <x v="0"/>
    <s v="Makati, Metro Manila, Philippines"/>
    <s v="Fulfilment"/>
    <s v="Full time"/>
    <x v="927"/>
  </r>
  <r>
    <n v="1020"/>
    <x v="5"/>
    <x v="2"/>
    <s v="North York, Ontario, Canada"/>
    <s v="Sales"/>
    <s v="Full time"/>
    <x v="928"/>
  </r>
  <r>
    <n v="1021"/>
    <x v="5"/>
    <x v="0"/>
    <s v="Burlingame, California, United States"/>
    <s v="Engineering"/>
    <s v="Full time"/>
    <x v="929"/>
  </r>
  <r>
    <n v="1022"/>
    <x v="5"/>
    <x v="2"/>
    <s v="Bellville, Western Cape, South Africa"/>
    <s v="Product"/>
    <s v="Full time"/>
    <x v="930"/>
  </r>
  <r>
    <n v="1023"/>
    <x v="5"/>
    <x v="0"/>
    <s v="Lisbon, Lisbon, Portugal"/>
    <s v="Engineering"/>
    <s v="Full time"/>
    <x v="931"/>
  </r>
  <r>
    <n v="1024"/>
    <x v="5"/>
    <x v="0"/>
    <s v="Burlingame, California, United States"/>
    <s v="Engineering"/>
    <s v="Full time"/>
    <x v="932"/>
  </r>
  <r>
    <n v="1025"/>
    <x v="5"/>
    <x v="2"/>
    <s v="Bellville, Western Cape, South Africa"/>
    <s v="Product"/>
    <s v="Full time"/>
    <x v="933"/>
  </r>
  <r>
    <n v="1026"/>
    <x v="5"/>
    <x v="0"/>
    <s v="Lisbon, Lisbon, Portugal"/>
    <s v="Engineering"/>
    <s v="Full time"/>
    <x v="934"/>
  </r>
  <r>
    <n v="1027"/>
    <x v="5"/>
    <x v="0"/>
    <s v="Hong Kong"/>
    <s v="Product"/>
    <s v=""/>
    <x v="935"/>
  </r>
  <r>
    <n v="1028"/>
    <x v="5"/>
    <x v="1"/>
    <s v="London, England, United Kingdom"/>
    <s v="Operations"/>
    <s v="Contract"/>
    <x v="936"/>
  </r>
  <r>
    <n v="1029"/>
    <x v="5"/>
    <x v="1"/>
    <s v="Berlin, Berlin, Germany"/>
    <s v="Product"/>
    <s v="Full time"/>
    <x v="937"/>
  </r>
  <r>
    <n v="1030"/>
    <x v="5"/>
    <x v="0"/>
    <s v="Lyon, Auvergne-Rhône-Alpes, France"/>
    <s v=""/>
    <s v="Full time"/>
    <x v="938"/>
  </r>
  <r>
    <n v="1031"/>
    <x v="5"/>
    <x v="1"/>
    <s v="Sofia, Sofia City Province, Bulgaria"/>
    <s v=""/>
    <s v="Full time"/>
    <x v="939"/>
  </r>
  <r>
    <n v="1032"/>
    <x v="5"/>
    <x v="3"/>
    <s v=""/>
    <s v=""/>
    <s v=""/>
    <x v="940"/>
  </r>
  <r>
    <n v="1033"/>
    <x v="5"/>
    <x v="0"/>
    <s v="Portugal"/>
    <s v="Product"/>
    <s v=""/>
    <x v="941"/>
  </r>
  <r>
    <n v="1034"/>
    <x v="5"/>
    <x v="0"/>
    <s v="India"/>
    <s v="Design"/>
    <s v="Full time"/>
    <x v="942"/>
  </r>
  <r>
    <n v="1035"/>
    <x v="5"/>
    <x v="1"/>
    <s v="Minato City, Tokyo, Japan"/>
    <s v="Mercari"/>
    <s v="Temporary"/>
    <x v="943"/>
  </r>
  <r>
    <n v="1036"/>
    <x v="5"/>
    <x v="0"/>
    <s v="Riyadh, Riyadh Province, Saudi Arabia"/>
    <s v="Product Development"/>
    <s v="Full time"/>
    <x v="944"/>
  </r>
  <r>
    <n v="1037"/>
    <x v="5"/>
    <x v="0"/>
    <s v="New York, New York, United States"/>
    <s v="Research Division"/>
    <s v=""/>
    <x v="945"/>
  </r>
  <r>
    <n v="1038"/>
    <x v="5"/>
    <x v="1"/>
    <s v="İstanbul, İstanbul, Turkey"/>
    <s v="Development"/>
    <s v="Full time"/>
    <x v="946"/>
  </r>
  <r>
    <n v="1039"/>
    <x v="5"/>
    <x v="1"/>
    <s v="Bengaluru, Karnataka, India"/>
    <s v="Product"/>
    <s v="Other"/>
    <x v="947"/>
  </r>
  <r>
    <n v="1040"/>
    <x v="5"/>
    <x v="3"/>
    <s v=""/>
    <s v=""/>
    <s v=""/>
    <x v="948"/>
  </r>
  <r>
    <n v="1041"/>
    <x v="5"/>
    <x v="0"/>
    <s v="Portugal"/>
    <s v="Product"/>
    <s v=""/>
    <x v="692"/>
  </r>
  <r>
    <n v="1042"/>
    <x v="5"/>
    <x v="0"/>
    <s v="India"/>
    <s v="Design"/>
    <s v="Full time"/>
    <x v="949"/>
  </r>
  <r>
    <n v="1043"/>
    <x v="5"/>
    <x v="1"/>
    <s v="Minato City, Tokyo, Japan"/>
    <s v="Mercari"/>
    <s v="Temporary"/>
    <x v="950"/>
  </r>
  <r>
    <n v="1044"/>
    <x v="5"/>
    <x v="0"/>
    <s v="Riyadh, Riyadh Province, Saudi Arabia"/>
    <s v="Product Development"/>
    <s v="Full time"/>
    <x v="951"/>
  </r>
  <r>
    <n v="1045"/>
    <x v="5"/>
    <x v="0"/>
    <s v="New York, New York, United States"/>
    <s v="Research Division"/>
    <s v=""/>
    <x v="952"/>
  </r>
  <r>
    <n v="1046"/>
    <x v="5"/>
    <x v="1"/>
    <s v="İstanbul, İstanbul, Turkey"/>
    <s v="Development"/>
    <s v="Full time"/>
    <x v="953"/>
  </r>
  <r>
    <n v="1047"/>
    <x v="5"/>
    <x v="1"/>
    <s v="Bengaluru, Karnataka, India"/>
    <s v="Product"/>
    <s v="Other"/>
    <x v="954"/>
  </r>
  <r>
    <n v="1048"/>
    <x v="5"/>
    <x v="0"/>
    <s v="Philippines"/>
    <s v=""/>
    <s v=""/>
    <x v="955"/>
  </r>
  <r>
    <n v="1049"/>
    <x v="5"/>
    <x v="1"/>
    <s v="Denver, Colorado, United States"/>
    <s v=""/>
    <s v="Full time"/>
    <x v="956"/>
  </r>
  <r>
    <n v="1050"/>
    <x v="5"/>
    <x v="0"/>
    <s v="Hong Kong"/>
    <s v="Product"/>
    <s v=""/>
    <x v="957"/>
  </r>
  <r>
    <n v="1051"/>
    <x v="5"/>
    <x v="1"/>
    <s v=""/>
    <s v="Product Engineering and Development"/>
    <s v="Full time"/>
    <x v="958"/>
  </r>
  <r>
    <n v="1052"/>
    <x v="5"/>
    <x v="0"/>
    <s v="India"/>
    <s v="Information Technology"/>
    <s v="Full time"/>
    <x v="959"/>
  </r>
  <r>
    <n v="1053"/>
    <x v="5"/>
    <x v="0"/>
    <s v="New Haven, Connecticut, United States"/>
    <s v=""/>
    <s v="Full time"/>
    <x v="960"/>
  </r>
  <r>
    <n v="1054"/>
    <x v="5"/>
    <x v="1"/>
    <s v=""/>
    <s v=""/>
    <s v=""/>
    <x v="961"/>
  </r>
  <r>
    <n v="1055"/>
    <x v="5"/>
    <x v="1"/>
    <s v="Bengaluru, Karnataka, India"/>
    <s v="UX Team"/>
    <s v="Full time"/>
    <x v="962"/>
  </r>
  <r>
    <n v="1056"/>
    <x v="5"/>
    <x v="0"/>
    <s v="Palo Alto, California, United States"/>
    <s v="Product"/>
    <s v="Full time"/>
    <x v="963"/>
  </r>
  <r>
    <n v="1057"/>
    <x v="5"/>
    <x v="0"/>
    <s v="Warsaw, Masovian Voivodeship, Poland"/>
    <s v="Poland, Engineering, PL"/>
    <s v="Full time"/>
    <x v="534"/>
  </r>
  <r>
    <n v="1058"/>
    <x v="5"/>
    <x v="0"/>
    <s v="London, London, United Kingdom"/>
    <s v="Platform"/>
    <s v="Full time"/>
    <x v="964"/>
  </r>
  <r>
    <n v="1059"/>
    <x v="5"/>
    <x v="0"/>
    <s v="Uttoxeter, England, United Kingdom"/>
    <s v="Software Engineering"/>
    <s v="Full time"/>
    <x v="912"/>
  </r>
  <r>
    <n v="1060"/>
    <x v="5"/>
    <x v="1"/>
    <s v="Kuala Lumpur, Federal Territory of Kuala Lumpur, Malaysia"/>
    <s v="Engineering"/>
    <s v="Full time"/>
    <x v="589"/>
  </r>
  <r>
    <n v="1061"/>
    <x v="5"/>
    <x v="1"/>
    <s v="New York, New York, United States"/>
    <s v="Visual Experience Design"/>
    <s v="Full time"/>
    <x v="965"/>
  </r>
  <r>
    <n v="1062"/>
    <x v="5"/>
    <x v="1"/>
    <s v="Madrid, Community of Madrid, Spain"/>
    <s v="Portfolio Company Community"/>
    <s v="Full time"/>
    <x v="521"/>
  </r>
  <r>
    <n v="1063"/>
    <x v="5"/>
    <x v="0"/>
    <s v="Lisbon, Lisbon, Portugal"/>
    <s v="Product"/>
    <s v="Full time"/>
    <x v="966"/>
  </r>
  <r>
    <n v="1064"/>
    <x v="5"/>
    <x v="1"/>
    <s v="Athens, Attica, Greece"/>
    <s v="Business Growth, Marketing &amp; Product"/>
    <s v="Full time"/>
    <x v="967"/>
  </r>
  <r>
    <n v="1065"/>
    <x v="5"/>
    <x v="1"/>
    <s v="Bengaluru, Karnataka, India"/>
    <s v="UX Team"/>
    <s v="Full time"/>
    <x v="968"/>
  </r>
  <r>
    <n v="1066"/>
    <x v="5"/>
    <x v="0"/>
    <s v="Palo Alto, California, United States"/>
    <s v="Product"/>
    <s v="Full time"/>
    <x v="969"/>
  </r>
  <r>
    <n v="1067"/>
    <x v="5"/>
    <x v="0"/>
    <s v="Warsaw, Masovian Voivodeship, Poland"/>
    <s v="Poland, Engineering, PL"/>
    <s v="Full time"/>
    <x v="970"/>
  </r>
  <r>
    <n v="1068"/>
    <x v="5"/>
    <x v="0"/>
    <s v="London, London, United Kingdom"/>
    <s v="Platform"/>
    <s v="Full time"/>
    <x v="971"/>
  </r>
  <r>
    <n v="1069"/>
    <x v="5"/>
    <x v="0"/>
    <s v="Uttoxeter, England, United Kingdom"/>
    <s v="Software Engineering"/>
    <s v="Full time"/>
    <x v="972"/>
  </r>
  <r>
    <n v="1070"/>
    <x v="5"/>
    <x v="1"/>
    <s v="Kuala Lumpur, Federal Territory of Kuala Lumpur, Malaysia"/>
    <s v="Engineering"/>
    <s v="Full time"/>
    <x v="973"/>
  </r>
  <r>
    <n v="1071"/>
    <x v="5"/>
    <x v="1"/>
    <s v="New York, New York, United States"/>
    <s v="Visual Experience Design"/>
    <s v="Full time"/>
    <x v="974"/>
  </r>
  <r>
    <n v="1072"/>
    <x v="5"/>
    <x v="1"/>
    <s v="Madrid, Community of Madrid, Spain"/>
    <s v="Portfolio Company Community"/>
    <s v="Full time"/>
    <x v="343"/>
  </r>
  <r>
    <n v="1073"/>
    <x v="5"/>
    <x v="0"/>
    <s v="Lisbon, Lisbon, Portugal"/>
    <s v="Product"/>
    <s v="Full time"/>
    <x v="975"/>
  </r>
  <r>
    <n v="1074"/>
    <x v="5"/>
    <x v="1"/>
    <s v="Athens, Attica, Greece"/>
    <s v="Business Growth, Marketing &amp; Product"/>
    <s v="Full time"/>
    <x v="464"/>
  </r>
  <r>
    <n v="1075"/>
    <x v="5"/>
    <x v="2"/>
    <s v="Southampton, England, United Kingdom"/>
    <s v=""/>
    <s v="Full time"/>
    <x v="636"/>
  </r>
  <r>
    <n v="1076"/>
    <x v="5"/>
    <x v="1"/>
    <s v="Wellington, Wellington, New Zealand"/>
    <s v="Art"/>
    <s v="Full time"/>
    <x v="976"/>
  </r>
  <r>
    <n v="1077"/>
    <x v="5"/>
    <x v="1"/>
    <s v="Taipei, Xinyi District, Taiwan"/>
    <s v="Creative"/>
    <s v="Full time"/>
    <x v="977"/>
  </r>
  <r>
    <n v="1078"/>
    <x v="5"/>
    <x v="2"/>
    <s v="Gurugram, Haryana, India"/>
    <s v="Engineering"/>
    <s v="Full time"/>
    <x v="978"/>
  </r>
  <r>
    <n v="1079"/>
    <x v="5"/>
    <x v="0"/>
    <s v="Mandaluyong, Metro Manila, Philippines"/>
    <s v="IT Development"/>
    <s v="Full time"/>
    <x v="979"/>
  </r>
  <r>
    <n v="1080"/>
    <x v="5"/>
    <x v="1"/>
    <s v="United Kingdom"/>
    <s v=""/>
    <s v=""/>
    <x v="980"/>
  </r>
  <r>
    <n v="1081"/>
    <x v="5"/>
    <x v="0"/>
    <s v="United States"/>
    <s v=""/>
    <s v=""/>
    <x v="915"/>
  </r>
  <r>
    <n v="1082"/>
    <x v="5"/>
    <x v="0"/>
    <s v="Lagos, Lagos, Nigeria"/>
    <s v="TECH"/>
    <s v="Full time"/>
    <x v="981"/>
  </r>
  <r>
    <n v="1083"/>
    <x v="5"/>
    <x v="0"/>
    <s v="England, United Kingdom"/>
    <s v="Sales"/>
    <s v="Full time"/>
    <x v="982"/>
  </r>
  <r>
    <n v="1084"/>
    <x v="5"/>
    <x v="2"/>
    <s v="Bengaluru, Karnataka, India"/>
    <s v="ENG"/>
    <s v="Full time"/>
    <x v="983"/>
  </r>
  <r>
    <n v="1085"/>
    <x v="5"/>
    <x v="0"/>
    <s v="Lisbon, Lisbon, Portugal"/>
    <s v="Product"/>
    <s v="Full time"/>
    <x v="984"/>
  </r>
  <r>
    <n v="1086"/>
    <x v="5"/>
    <x v="3"/>
    <s v=""/>
    <s v=""/>
    <s v=""/>
    <x v="985"/>
  </r>
  <r>
    <n v="1087"/>
    <x v="5"/>
    <x v="0"/>
    <s v="Minato City, Tokyo, Japan"/>
    <s v="Mercari"/>
    <s v="Full time"/>
    <x v="986"/>
  </r>
  <r>
    <n v="1088"/>
    <x v="5"/>
    <x v="0"/>
    <s v="Washington, District of Columbia, United States"/>
    <s v="Account Team"/>
    <s v="Full time"/>
    <x v="987"/>
  </r>
  <r>
    <n v="1089"/>
    <x v="5"/>
    <x v="2"/>
    <s v="Cardiff, Wales, United Kingdom"/>
    <s v="Content"/>
    <s v="Full time"/>
    <x v="988"/>
  </r>
  <r>
    <n v="1090"/>
    <x v="5"/>
    <x v="0"/>
    <s v="Paris, Île-de-France, France"/>
    <s v="Content"/>
    <s v="Other"/>
    <x v="238"/>
  </r>
  <r>
    <n v="1091"/>
    <x v="5"/>
    <x v="0"/>
    <s v="Athens, Attica, Greece"/>
    <s v="Engineering"/>
    <s v="Full time"/>
    <x v="989"/>
  </r>
  <r>
    <n v="1092"/>
    <x v="5"/>
    <x v="1"/>
    <s v="Bulverde, Texas, United States"/>
    <s v="Marketing"/>
    <s v="Full time"/>
    <x v="328"/>
  </r>
  <r>
    <n v="1093"/>
    <x v="5"/>
    <x v="1"/>
    <s v="Amsterdam, North Holland, Netherlands"/>
    <s v="Marketing, Communications and Events"/>
    <s v="Full time"/>
    <x v="990"/>
  </r>
  <r>
    <n v="1094"/>
    <x v="5"/>
    <x v="0"/>
    <s v="Spain"/>
    <s v="Product &amp; Technology"/>
    <s v="Full time"/>
    <x v="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D5BE1-05B7-4F9A-A320-AF8DCAB53A7A}" name="TablaDinámica17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4" fieldListSortAscending="1">
  <location ref="A3:B9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Puesto" axis="axisRow" compact="0" outline="0" showAll="0" sortType="descending" defaultSubtotal="0">
      <items count="6">
        <item x="5"/>
        <item x="4"/>
        <item x="3"/>
        <item x="2"/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6">
    <i>
      <x/>
    </i>
    <i>
      <x v="3"/>
    </i>
    <i>
      <x v="1"/>
    </i>
    <i>
      <x v="2"/>
    </i>
    <i>
      <x v="5"/>
    </i>
    <i>
      <x v="4"/>
    </i>
  </rowItems>
  <colItems count="1">
    <i/>
  </colItems>
  <dataFields count="1">
    <dataField name="Suma de Salarios" fld="6" baseField="1" baseItem="5" numFmtId="165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1" type="button" dataOnly="0" labelOnly="1" outline="0" axis="axisRow" fieldPosition="0"/>
    </format>
    <format dxfId="8">
      <pivotArea dataOnly="0" labelOnly="1" outline="0" fieldPosition="0">
        <references count="1">
          <reference field="1" count="0"/>
        </references>
      </pivotArea>
    </format>
    <format dxfId="9">
      <pivotArea dataOnly="0" labelOnly="1" outline="0" axis="axisValues" fieldPosition="0"/>
    </format>
    <format dxfId="10">
      <pivotArea outline="0" collapsedLevelsAreSubtotals="1" fieldPosition="0"/>
    </format>
    <format dxfId="11">
      <pivotArea dataOnly="0" labelOnly="1" outline="0" axis="axisValues" fieldPosition="0"/>
    </format>
  </format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7FA26D2-BAE4-499F-93F3-13A3F29DEDC7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olumn1" tableColumnId="1"/>
      <queryTableField id="2" name="Category" tableColumnId="2"/>
      <queryTableField id="3" name="Workplace" tableColumnId="3"/>
      <queryTableField id="4" name="Location" tableColumnId="4"/>
      <queryTableField id="5" name="Department" tableColumnId="5"/>
      <queryTableField id="6" name="Type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F71E7-AF5E-4705-B2DC-359EAD37AA45}" name="job_data_merged_1" displayName="job_data_merged_1" ref="A1:G1096" tableType="queryTable" totalsRowShown="0">
  <autoFilter ref="A1:G1096" xr:uid="{E70F71E7-AF5E-4705-B2DC-359EAD37AA45}"/>
  <tableColumns count="7">
    <tableColumn id="1" xr3:uid="{F3C140BB-8C9D-4C58-AF2E-94877AEC22EF}" uniqueName="1" name="Column1" queryTableFieldId="1"/>
    <tableColumn id="2" xr3:uid="{06EDEA5C-E479-4C6B-A918-2144231508B5}" uniqueName="2" name="Category" queryTableFieldId="2" dataDxfId="17"/>
    <tableColumn id="3" xr3:uid="{2E7FDCD8-DA37-4D7A-8A49-02EAABDF6FE1}" uniqueName="3" name="Workplace" queryTableFieldId="3" dataDxfId="16"/>
    <tableColumn id="4" xr3:uid="{F03EB354-0B42-42BA-9AD1-07AB6FA73D2E}" uniqueName="4" name="Location" queryTableFieldId="4" dataDxfId="15"/>
    <tableColumn id="5" xr3:uid="{DBC1F37D-A8A3-43F5-8609-53D56EC11E59}" uniqueName="5" name="Department" queryTableFieldId="5" dataDxfId="14"/>
    <tableColumn id="6" xr3:uid="{6048B519-710B-47B5-B1CA-630D8798AA93}" uniqueName="6" name="Type" queryTableFieldId="6" dataDxfId="13"/>
    <tableColumn id="7" xr3:uid="{54D2FAFE-09A9-4EA6-BA59-7DB46451ED8E}" uniqueName="7" name="Salary" queryTableFieldId="7" dataDxfId="12" dataCellStyle="Moneda">
      <calculatedColumnFormula>RANDBETWEEN(6500,12000)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962F-4837-42EA-862B-81B05569D14D}">
  <dimension ref="A1:G1096"/>
  <sheetViews>
    <sheetView workbookViewId="0">
      <selection activeCell="B10" sqref="A7:B10"/>
    </sheetView>
  </sheetViews>
  <sheetFormatPr baseColWidth="10" defaultRowHeight="14.4" x14ac:dyDescent="0.3"/>
  <cols>
    <col min="1" max="1" width="10.6640625" bestFit="1" customWidth="1"/>
    <col min="2" max="2" width="16.6640625" bestFit="1" customWidth="1"/>
    <col min="3" max="3" width="12.21875" bestFit="1" customWidth="1"/>
    <col min="4" max="4" width="47.77734375" bestFit="1" customWidth="1"/>
    <col min="5" max="5" width="80.88671875" bestFit="1" customWidth="1"/>
    <col min="6" max="6" width="10.5546875" bestFit="1" customWidth="1"/>
    <col min="7" max="7" width="12.21875" style="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561</v>
      </c>
    </row>
    <row r="2" spans="1:7" x14ac:dyDescent="0.3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3">
        <f t="shared" ref="G2:G65" ca="1" si="0">RANDBETWEEN(6500,12000)</f>
        <v>10948</v>
      </c>
    </row>
    <row r="3" spans="1:7" x14ac:dyDescent="0.3">
      <c r="A3">
        <v>1</v>
      </c>
      <c r="B3" t="s">
        <v>6</v>
      </c>
      <c r="C3" t="s">
        <v>7</v>
      </c>
      <c r="D3" t="s">
        <v>11</v>
      </c>
      <c r="E3" t="s">
        <v>12</v>
      </c>
      <c r="F3" t="s">
        <v>10</v>
      </c>
      <c r="G3" s="3">
        <f t="shared" ca="1" si="0"/>
        <v>9322</v>
      </c>
    </row>
    <row r="4" spans="1:7" x14ac:dyDescent="0.3">
      <c r="A4">
        <v>2</v>
      </c>
      <c r="B4" t="s">
        <v>6</v>
      </c>
      <c r="C4" t="s">
        <v>13</v>
      </c>
      <c r="D4" t="s">
        <v>14</v>
      </c>
      <c r="E4" t="s">
        <v>15</v>
      </c>
      <c r="F4" t="s">
        <v>10</v>
      </c>
      <c r="G4" s="3">
        <f t="shared" ca="1" si="0"/>
        <v>9271</v>
      </c>
    </row>
    <row r="5" spans="1:7" x14ac:dyDescent="0.3">
      <c r="A5">
        <v>3</v>
      </c>
      <c r="B5" t="s">
        <v>6</v>
      </c>
      <c r="C5" t="s">
        <v>13</v>
      </c>
      <c r="D5" t="s">
        <v>16</v>
      </c>
      <c r="E5" t="s">
        <v>17</v>
      </c>
      <c r="F5" t="s">
        <v>10</v>
      </c>
      <c r="G5" s="3">
        <f t="shared" ca="1" si="0"/>
        <v>7695</v>
      </c>
    </row>
    <row r="6" spans="1:7" x14ac:dyDescent="0.3">
      <c r="A6">
        <v>4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s="3">
        <f t="shared" ca="1" si="0"/>
        <v>11498</v>
      </c>
    </row>
    <row r="7" spans="1:7" x14ac:dyDescent="0.3">
      <c r="A7">
        <v>5</v>
      </c>
      <c r="B7" t="s">
        <v>6</v>
      </c>
      <c r="C7" t="s">
        <v>7</v>
      </c>
      <c r="D7" t="s">
        <v>11</v>
      </c>
      <c r="E7" t="s">
        <v>12</v>
      </c>
      <c r="F7" t="s">
        <v>10</v>
      </c>
      <c r="G7" s="3">
        <f t="shared" ca="1" si="0"/>
        <v>10408</v>
      </c>
    </row>
    <row r="8" spans="1:7" x14ac:dyDescent="0.3">
      <c r="A8">
        <v>6</v>
      </c>
      <c r="B8" t="s">
        <v>6</v>
      </c>
      <c r="C8" t="s">
        <v>13</v>
      </c>
      <c r="D8" t="s">
        <v>14</v>
      </c>
      <c r="E8" t="s">
        <v>15</v>
      </c>
      <c r="F8" t="s">
        <v>10</v>
      </c>
      <c r="G8" s="3">
        <f t="shared" ca="1" si="0"/>
        <v>7145</v>
      </c>
    </row>
    <row r="9" spans="1:7" x14ac:dyDescent="0.3">
      <c r="A9">
        <v>7</v>
      </c>
      <c r="B9" t="s">
        <v>6</v>
      </c>
      <c r="C9" t="s">
        <v>13</v>
      </c>
      <c r="D9" t="s">
        <v>16</v>
      </c>
      <c r="E9" t="s">
        <v>17</v>
      </c>
      <c r="F9" t="s">
        <v>10</v>
      </c>
      <c r="G9" s="3">
        <f t="shared" ca="1" si="0"/>
        <v>10074</v>
      </c>
    </row>
    <row r="10" spans="1:7" x14ac:dyDescent="0.3">
      <c r="A10">
        <v>8</v>
      </c>
      <c r="B10" t="s">
        <v>6</v>
      </c>
      <c r="C10" t="s">
        <v>7</v>
      </c>
      <c r="D10" t="s">
        <v>16</v>
      </c>
      <c r="E10" t="s">
        <v>18</v>
      </c>
      <c r="F10" t="s">
        <v>19</v>
      </c>
      <c r="G10" s="3">
        <f t="shared" ca="1" si="0"/>
        <v>11959</v>
      </c>
    </row>
    <row r="11" spans="1:7" x14ac:dyDescent="0.3">
      <c r="A11">
        <v>9</v>
      </c>
      <c r="B11" t="s">
        <v>6</v>
      </c>
      <c r="C11" t="s">
        <v>7</v>
      </c>
      <c r="D11" t="s">
        <v>11</v>
      </c>
      <c r="E11" t="s">
        <v>12</v>
      </c>
      <c r="F11" t="s">
        <v>10</v>
      </c>
      <c r="G11" s="3">
        <f t="shared" ca="1" si="0"/>
        <v>7901</v>
      </c>
    </row>
    <row r="12" spans="1:7" x14ac:dyDescent="0.3">
      <c r="A12">
        <v>10</v>
      </c>
      <c r="B12" t="s">
        <v>6</v>
      </c>
      <c r="C12" t="s">
        <v>13</v>
      </c>
      <c r="D12" t="s">
        <v>20</v>
      </c>
      <c r="E12" t="s">
        <v>21</v>
      </c>
      <c r="F12" t="s">
        <v>10</v>
      </c>
      <c r="G12" s="3">
        <f t="shared" ca="1" si="0"/>
        <v>7248</v>
      </c>
    </row>
    <row r="13" spans="1:7" x14ac:dyDescent="0.3">
      <c r="A13">
        <v>11</v>
      </c>
      <c r="B13" t="s">
        <v>6</v>
      </c>
      <c r="C13" t="s">
        <v>7</v>
      </c>
      <c r="D13" t="s">
        <v>22</v>
      </c>
      <c r="E13" t="s">
        <v>23</v>
      </c>
      <c r="F13" t="s">
        <v>10</v>
      </c>
      <c r="G13" s="3">
        <f t="shared" ca="1" si="0"/>
        <v>10616</v>
      </c>
    </row>
    <row r="14" spans="1:7" x14ac:dyDescent="0.3">
      <c r="A14">
        <v>12</v>
      </c>
      <c r="B14" t="s">
        <v>6</v>
      </c>
      <c r="C14" t="s">
        <v>24</v>
      </c>
      <c r="D14" t="s">
        <v>16</v>
      </c>
      <c r="E14" t="s">
        <v>25</v>
      </c>
      <c r="F14" t="s">
        <v>10</v>
      </c>
      <c r="G14" s="3">
        <f t="shared" ca="1" si="0"/>
        <v>7600</v>
      </c>
    </row>
    <row r="15" spans="1:7" x14ac:dyDescent="0.3">
      <c r="A15">
        <v>13</v>
      </c>
      <c r="B15" t="s">
        <v>6</v>
      </c>
      <c r="C15" t="s">
        <v>24</v>
      </c>
      <c r="D15" t="s">
        <v>16</v>
      </c>
      <c r="E15" t="s">
        <v>26</v>
      </c>
      <c r="F15" t="s">
        <v>10</v>
      </c>
      <c r="G15" s="3">
        <f t="shared" ca="1" si="0"/>
        <v>11358</v>
      </c>
    </row>
    <row r="16" spans="1:7" x14ac:dyDescent="0.3">
      <c r="A16">
        <v>14</v>
      </c>
      <c r="B16" t="s">
        <v>6</v>
      </c>
      <c r="C16" t="s">
        <v>24</v>
      </c>
      <c r="D16" t="s">
        <v>27</v>
      </c>
      <c r="E16" t="s">
        <v>28</v>
      </c>
      <c r="F16" t="s">
        <v>10</v>
      </c>
      <c r="G16" s="3">
        <f t="shared" ca="1" si="0"/>
        <v>11064</v>
      </c>
    </row>
    <row r="17" spans="1:7" x14ac:dyDescent="0.3">
      <c r="A17">
        <v>15</v>
      </c>
      <c r="B17" t="s">
        <v>6</v>
      </c>
      <c r="C17" t="s">
        <v>13</v>
      </c>
      <c r="D17" t="s">
        <v>29</v>
      </c>
      <c r="E17" t="s">
        <v>30</v>
      </c>
      <c r="F17" t="s">
        <v>31</v>
      </c>
      <c r="G17" s="3">
        <f t="shared" ca="1" si="0"/>
        <v>8745</v>
      </c>
    </row>
    <row r="18" spans="1:7" x14ac:dyDescent="0.3">
      <c r="A18">
        <v>16</v>
      </c>
      <c r="B18" t="s">
        <v>6</v>
      </c>
      <c r="C18" t="s">
        <v>7</v>
      </c>
      <c r="D18" t="s">
        <v>32</v>
      </c>
      <c r="E18" t="s">
        <v>33</v>
      </c>
      <c r="F18" t="s">
        <v>10</v>
      </c>
      <c r="G18" s="3">
        <f t="shared" ca="1" si="0"/>
        <v>8294</v>
      </c>
    </row>
    <row r="19" spans="1:7" x14ac:dyDescent="0.3">
      <c r="A19">
        <v>17</v>
      </c>
      <c r="B19" t="s">
        <v>6</v>
      </c>
      <c r="C19" t="s">
        <v>13</v>
      </c>
      <c r="D19" t="s">
        <v>20</v>
      </c>
      <c r="E19" t="s">
        <v>34</v>
      </c>
      <c r="F19" t="s">
        <v>10</v>
      </c>
      <c r="G19" s="3">
        <f t="shared" ca="1" si="0"/>
        <v>6937</v>
      </c>
    </row>
    <row r="20" spans="1:7" x14ac:dyDescent="0.3">
      <c r="A20">
        <v>18</v>
      </c>
      <c r="B20" t="s">
        <v>6</v>
      </c>
      <c r="C20" t="s">
        <v>7</v>
      </c>
      <c r="D20" t="s">
        <v>16</v>
      </c>
      <c r="E20" t="s">
        <v>18</v>
      </c>
      <c r="F20" t="s">
        <v>19</v>
      </c>
      <c r="G20" s="3">
        <f t="shared" ca="1" si="0"/>
        <v>6904</v>
      </c>
    </row>
    <row r="21" spans="1:7" x14ac:dyDescent="0.3">
      <c r="A21">
        <v>19</v>
      </c>
      <c r="B21" t="s">
        <v>6</v>
      </c>
      <c r="C21" t="s">
        <v>7</v>
      </c>
      <c r="D21" t="s">
        <v>11</v>
      </c>
      <c r="E21" t="s">
        <v>12</v>
      </c>
      <c r="F21" t="s">
        <v>10</v>
      </c>
      <c r="G21" s="3">
        <f t="shared" ca="1" si="0"/>
        <v>10045</v>
      </c>
    </row>
    <row r="22" spans="1:7" x14ac:dyDescent="0.3">
      <c r="A22">
        <v>20</v>
      </c>
      <c r="B22" t="s">
        <v>6</v>
      </c>
      <c r="C22" t="s">
        <v>13</v>
      </c>
      <c r="D22" t="s">
        <v>20</v>
      </c>
      <c r="E22" t="s">
        <v>21</v>
      </c>
      <c r="F22" t="s">
        <v>10</v>
      </c>
      <c r="G22" s="3">
        <f t="shared" ca="1" si="0"/>
        <v>7841</v>
      </c>
    </row>
    <row r="23" spans="1:7" x14ac:dyDescent="0.3">
      <c r="A23">
        <v>21</v>
      </c>
      <c r="B23" t="s">
        <v>6</v>
      </c>
      <c r="C23" t="s">
        <v>7</v>
      </c>
      <c r="D23" t="s">
        <v>22</v>
      </c>
      <c r="E23" t="s">
        <v>23</v>
      </c>
      <c r="F23" t="s">
        <v>10</v>
      </c>
      <c r="G23" s="3">
        <f t="shared" ca="1" si="0"/>
        <v>9121</v>
      </c>
    </row>
    <row r="24" spans="1:7" x14ac:dyDescent="0.3">
      <c r="A24">
        <v>22</v>
      </c>
      <c r="B24" t="s">
        <v>6</v>
      </c>
      <c r="C24" t="s">
        <v>24</v>
      </c>
      <c r="D24" t="s">
        <v>16</v>
      </c>
      <c r="E24" t="s">
        <v>25</v>
      </c>
      <c r="F24" t="s">
        <v>10</v>
      </c>
      <c r="G24" s="3">
        <f t="shared" ca="1" si="0"/>
        <v>11897</v>
      </c>
    </row>
    <row r="25" spans="1:7" x14ac:dyDescent="0.3">
      <c r="A25">
        <v>23</v>
      </c>
      <c r="B25" t="s">
        <v>6</v>
      </c>
      <c r="C25" t="s">
        <v>24</v>
      </c>
      <c r="D25" t="s">
        <v>16</v>
      </c>
      <c r="E25" t="s">
        <v>26</v>
      </c>
      <c r="F25" t="s">
        <v>10</v>
      </c>
      <c r="G25" s="3">
        <f t="shared" ca="1" si="0"/>
        <v>7119</v>
      </c>
    </row>
    <row r="26" spans="1:7" x14ac:dyDescent="0.3">
      <c r="A26">
        <v>24</v>
      </c>
      <c r="B26" t="s">
        <v>6</v>
      </c>
      <c r="C26" t="s">
        <v>24</v>
      </c>
      <c r="D26" t="s">
        <v>27</v>
      </c>
      <c r="E26" t="s">
        <v>28</v>
      </c>
      <c r="F26" t="s">
        <v>10</v>
      </c>
      <c r="G26" s="3">
        <f t="shared" ca="1" si="0"/>
        <v>8085</v>
      </c>
    </row>
    <row r="27" spans="1:7" x14ac:dyDescent="0.3">
      <c r="A27">
        <v>25</v>
      </c>
      <c r="B27" t="s">
        <v>6</v>
      </c>
      <c r="C27" t="s">
        <v>13</v>
      </c>
      <c r="D27" t="s">
        <v>29</v>
      </c>
      <c r="E27" t="s">
        <v>30</v>
      </c>
      <c r="F27" t="s">
        <v>31</v>
      </c>
      <c r="G27" s="3">
        <f t="shared" ca="1" si="0"/>
        <v>8470</v>
      </c>
    </row>
    <row r="28" spans="1:7" x14ac:dyDescent="0.3">
      <c r="A28">
        <v>26</v>
      </c>
      <c r="B28" t="s">
        <v>6</v>
      </c>
      <c r="C28" t="s">
        <v>7</v>
      </c>
      <c r="D28" t="s">
        <v>32</v>
      </c>
      <c r="E28" t="s">
        <v>33</v>
      </c>
      <c r="F28" t="s">
        <v>10</v>
      </c>
      <c r="G28" s="3">
        <f t="shared" ca="1" si="0"/>
        <v>11679</v>
      </c>
    </row>
    <row r="29" spans="1:7" x14ac:dyDescent="0.3">
      <c r="A29">
        <v>27</v>
      </c>
      <c r="B29" t="s">
        <v>6</v>
      </c>
      <c r="C29" t="s">
        <v>13</v>
      </c>
      <c r="D29" t="s">
        <v>20</v>
      </c>
      <c r="E29" t="s">
        <v>34</v>
      </c>
      <c r="F29" t="s">
        <v>10</v>
      </c>
      <c r="G29" s="3">
        <f t="shared" ca="1" si="0"/>
        <v>10556</v>
      </c>
    </row>
    <row r="30" spans="1:7" x14ac:dyDescent="0.3">
      <c r="A30">
        <v>28</v>
      </c>
      <c r="B30" t="s">
        <v>6</v>
      </c>
      <c r="C30" t="s">
        <v>7</v>
      </c>
      <c r="D30" t="s">
        <v>35</v>
      </c>
      <c r="E30" t="s">
        <v>36</v>
      </c>
      <c r="F30" t="s">
        <v>10</v>
      </c>
      <c r="G30" s="3">
        <f t="shared" ca="1" si="0"/>
        <v>10489</v>
      </c>
    </row>
    <row r="31" spans="1:7" x14ac:dyDescent="0.3">
      <c r="A31">
        <v>29</v>
      </c>
      <c r="B31" t="s">
        <v>6</v>
      </c>
      <c r="C31" t="s">
        <v>13</v>
      </c>
      <c r="D31" t="s">
        <v>37</v>
      </c>
      <c r="E31" t="s">
        <v>38</v>
      </c>
      <c r="F31" t="s">
        <v>10</v>
      </c>
      <c r="G31" s="3">
        <f t="shared" ca="1" si="0"/>
        <v>9857</v>
      </c>
    </row>
    <row r="32" spans="1:7" x14ac:dyDescent="0.3">
      <c r="A32">
        <v>30</v>
      </c>
      <c r="B32" t="s">
        <v>6</v>
      </c>
      <c r="C32" t="s">
        <v>13</v>
      </c>
      <c r="D32" t="s">
        <v>39</v>
      </c>
      <c r="E32" t="s">
        <v>40</v>
      </c>
      <c r="F32" t="s">
        <v>19</v>
      </c>
      <c r="G32" s="3">
        <f t="shared" ca="1" si="0"/>
        <v>8492</v>
      </c>
    </row>
    <row r="33" spans="1:7" x14ac:dyDescent="0.3">
      <c r="A33">
        <v>31</v>
      </c>
      <c r="B33" t="s">
        <v>6</v>
      </c>
      <c r="C33" t="s">
        <v>24</v>
      </c>
      <c r="D33" t="s">
        <v>41</v>
      </c>
      <c r="E33" t="s">
        <v>42</v>
      </c>
      <c r="F33" t="s">
        <v>19</v>
      </c>
      <c r="G33" s="3">
        <f t="shared" ca="1" si="0"/>
        <v>9767</v>
      </c>
    </row>
    <row r="34" spans="1:7" x14ac:dyDescent="0.3">
      <c r="A34">
        <v>32</v>
      </c>
      <c r="B34" t="s">
        <v>6</v>
      </c>
      <c r="C34" t="s">
        <v>7</v>
      </c>
      <c r="D34" t="s">
        <v>43</v>
      </c>
      <c r="E34" t="s">
        <v>44</v>
      </c>
      <c r="F34" t="s">
        <v>10</v>
      </c>
      <c r="G34" s="3">
        <f t="shared" ca="1" si="0"/>
        <v>7497</v>
      </c>
    </row>
    <row r="35" spans="1:7" x14ac:dyDescent="0.3">
      <c r="A35">
        <v>33</v>
      </c>
      <c r="B35" t="s">
        <v>6</v>
      </c>
      <c r="C35" t="s">
        <v>13</v>
      </c>
      <c r="D35" t="s">
        <v>45</v>
      </c>
      <c r="E35" t="s">
        <v>46</v>
      </c>
      <c r="F35" t="s">
        <v>10</v>
      </c>
      <c r="G35" s="3">
        <f t="shared" ca="1" si="0"/>
        <v>9576</v>
      </c>
    </row>
    <row r="36" spans="1:7" x14ac:dyDescent="0.3">
      <c r="A36">
        <v>34</v>
      </c>
      <c r="B36" t="s">
        <v>6</v>
      </c>
      <c r="C36" t="s">
        <v>13</v>
      </c>
      <c r="D36" t="s">
        <v>47</v>
      </c>
      <c r="E36" t="s">
        <v>48</v>
      </c>
      <c r="F36" t="s">
        <v>10</v>
      </c>
      <c r="G36" s="3">
        <f t="shared" ca="1" si="0"/>
        <v>7643</v>
      </c>
    </row>
    <row r="37" spans="1:7" x14ac:dyDescent="0.3">
      <c r="A37">
        <v>35</v>
      </c>
      <c r="B37" t="s">
        <v>6</v>
      </c>
      <c r="C37" t="s">
        <v>13</v>
      </c>
      <c r="D37" t="s">
        <v>16</v>
      </c>
      <c r="E37" t="s">
        <v>40</v>
      </c>
      <c r="F37" t="s">
        <v>19</v>
      </c>
      <c r="G37" s="3">
        <f t="shared" ca="1" si="0"/>
        <v>9291</v>
      </c>
    </row>
    <row r="38" spans="1:7" x14ac:dyDescent="0.3">
      <c r="A38">
        <v>36</v>
      </c>
      <c r="B38" t="s">
        <v>6</v>
      </c>
      <c r="C38" t="s">
        <v>7</v>
      </c>
      <c r="D38" t="s">
        <v>11</v>
      </c>
      <c r="E38" t="s">
        <v>12</v>
      </c>
      <c r="F38" t="s">
        <v>10</v>
      </c>
      <c r="G38" s="3">
        <f t="shared" ca="1" si="0"/>
        <v>10805</v>
      </c>
    </row>
    <row r="39" spans="1:7" x14ac:dyDescent="0.3">
      <c r="A39">
        <v>37</v>
      </c>
      <c r="B39" t="s">
        <v>6</v>
      </c>
      <c r="C39" t="s">
        <v>13</v>
      </c>
      <c r="D39" t="s">
        <v>43</v>
      </c>
      <c r="E39" t="s">
        <v>49</v>
      </c>
      <c r="F39" t="s">
        <v>10</v>
      </c>
      <c r="G39" s="3">
        <f t="shared" ca="1" si="0"/>
        <v>10977</v>
      </c>
    </row>
    <row r="40" spans="1:7" x14ac:dyDescent="0.3">
      <c r="A40">
        <v>38</v>
      </c>
      <c r="B40" t="s">
        <v>6</v>
      </c>
      <c r="C40" t="s">
        <v>7</v>
      </c>
      <c r="D40" t="s">
        <v>35</v>
      </c>
      <c r="E40" t="s">
        <v>36</v>
      </c>
      <c r="F40" t="s">
        <v>10</v>
      </c>
      <c r="G40" s="3">
        <f t="shared" ca="1" si="0"/>
        <v>9608</v>
      </c>
    </row>
    <row r="41" spans="1:7" x14ac:dyDescent="0.3">
      <c r="A41">
        <v>39</v>
      </c>
      <c r="B41" t="s">
        <v>6</v>
      </c>
      <c r="C41" t="s">
        <v>13</v>
      </c>
      <c r="D41" t="s">
        <v>37</v>
      </c>
      <c r="E41" t="s">
        <v>38</v>
      </c>
      <c r="F41" t="s">
        <v>10</v>
      </c>
      <c r="G41" s="3">
        <f t="shared" ca="1" si="0"/>
        <v>11315</v>
      </c>
    </row>
    <row r="42" spans="1:7" x14ac:dyDescent="0.3">
      <c r="A42">
        <v>40</v>
      </c>
      <c r="B42" t="s">
        <v>6</v>
      </c>
      <c r="C42" t="s">
        <v>13</v>
      </c>
      <c r="D42" t="s">
        <v>39</v>
      </c>
      <c r="E42" t="s">
        <v>40</v>
      </c>
      <c r="F42" t="s">
        <v>19</v>
      </c>
      <c r="G42" s="3">
        <f t="shared" ca="1" si="0"/>
        <v>8500</v>
      </c>
    </row>
    <row r="43" spans="1:7" x14ac:dyDescent="0.3">
      <c r="A43">
        <v>41</v>
      </c>
      <c r="B43" t="s">
        <v>6</v>
      </c>
      <c r="C43" t="s">
        <v>24</v>
      </c>
      <c r="D43" t="s">
        <v>41</v>
      </c>
      <c r="E43" t="s">
        <v>42</v>
      </c>
      <c r="F43" t="s">
        <v>19</v>
      </c>
      <c r="G43" s="3">
        <f t="shared" ca="1" si="0"/>
        <v>7710</v>
      </c>
    </row>
    <row r="44" spans="1:7" x14ac:dyDescent="0.3">
      <c r="A44">
        <v>42</v>
      </c>
      <c r="B44" t="s">
        <v>6</v>
      </c>
      <c r="C44" t="s">
        <v>7</v>
      </c>
      <c r="D44" t="s">
        <v>43</v>
      </c>
      <c r="E44" t="s">
        <v>44</v>
      </c>
      <c r="F44" t="s">
        <v>10</v>
      </c>
      <c r="G44" s="3">
        <f t="shared" ca="1" si="0"/>
        <v>6503</v>
      </c>
    </row>
    <row r="45" spans="1:7" x14ac:dyDescent="0.3">
      <c r="A45">
        <v>43</v>
      </c>
      <c r="B45" t="s">
        <v>6</v>
      </c>
      <c r="C45" t="s">
        <v>13</v>
      </c>
      <c r="D45" t="s">
        <v>45</v>
      </c>
      <c r="E45" t="s">
        <v>46</v>
      </c>
      <c r="F45" t="s">
        <v>10</v>
      </c>
      <c r="G45" s="3">
        <f t="shared" ca="1" si="0"/>
        <v>11641</v>
      </c>
    </row>
    <row r="46" spans="1:7" x14ac:dyDescent="0.3">
      <c r="A46">
        <v>44</v>
      </c>
      <c r="B46" t="s">
        <v>6</v>
      </c>
      <c r="C46" t="s">
        <v>13</v>
      </c>
      <c r="D46" t="s">
        <v>47</v>
      </c>
      <c r="E46" t="s">
        <v>48</v>
      </c>
      <c r="F46" t="s">
        <v>10</v>
      </c>
      <c r="G46" s="3">
        <f t="shared" ca="1" si="0"/>
        <v>7402</v>
      </c>
    </row>
    <row r="47" spans="1:7" x14ac:dyDescent="0.3">
      <c r="A47">
        <v>45</v>
      </c>
      <c r="B47" t="s">
        <v>6</v>
      </c>
      <c r="C47" t="s">
        <v>13</v>
      </c>
      <c r="D47" t="s">
        <v>16</v>
      </c>
      <c r="E47" t="s">
        <v>40</v>
      </c>
      <c r="F47" t="s">
        <v>19</v>
      </c>
      <c r="G47" s="3">
        <f t="shared" ca="1" si="0"/>
        <v>11952</v>
      </c>
    </row>
    <row r="48" spans="1:7" x14ac:dyDescent="0.3">
      <c r="A48">
        <v>46</v>
      </c>
      <c r="B48" t="s">
        <v>6</v>
      </c>
      <c r="C48" t="s">
        <v>7</v>
      </c>
      <c r="D48" t="s">
        <v>11</v>
      </c>
      <c r="E48" t="s">
        <v>12</v>
      </c>
      <c r="F48" t="s">
        <v>10</v>
      </c>
      <c r="G48" s="3">
        <f t="shared" ca="1" si="0"/>
        <v>7639</v>
      </c>
    </row>
    <row r="49" spans="1:7" x14ac:dyDescent="0.3">
      <c r="A49">
        <v>47</v>
      </c>
      <c r="B49" t="s">
        <v>6</v>
      </c>
      <c r="C49" t="s">
        <v>13</v>
      </c>
      <c r="D49" t="s">
        <v>43</v>
      </c>
      <c r="E49" t="s">
        <v>49</v>
      </c>
      <c r="F49" t="s">
        <v>10</v>
      </c>
      <c r="G49" s="3">
        <f t="shared" ca="1" si="0"/>
        <v>8341</v>
      </c>
    </row>
    <row r="50" spans="1:7" x14ac:dyDescent="0.3">
      <c r="A50">
        <v>48</v>
      </c>
      <c r="B50" t="s">
        <v>6</v>
      </c>
      <c r="C50" t="s">
        <v>13</v>
      </c>
      <c r="D50" t="s">
        <v>50</v>
      </c>
      <c r="E50" t="s">
        <v>51</v>
      </c>
      <c r="F50" t="s">
        <v>10</v>
      </c>
      <c r="G50" s="3">
        <f t="shared" ca="1" si="0"/>
        <v>7696</v>
      </c>
    </row>
    <row r="51" spans="1:7" x14ac:dyDescent="0.3">
      <c r="A51">
        <v>49</v>
      </c>
      <c r="B51" t="s">
        <v>6</v>
      </c>
      <c r="C51" t="s">
        <v>13</v>
      </c>
      <c r="D51" t="s">
        <v>52</v>
      </c>
      <c r="E51" t="s">
        <v>53</v>
      </c>
      <c r="F51" t="s">
        <v>10</v>
      </c>
      <c r="G51" s="3">
        <f t="shared" ca="1" si="0"/>
        <v>8237</v>
      </c>
    </row>
    <row r="52" spans="1:7" x14ac:dyDescent="0.3">
      <c r="A52">
        <v>50</v>
      </c>
      <c r="B52" t="s">
        <v>6</v>
      </c>
      <c r="C52" t="s">
        <v>24</v>
      </c>
      <c r="D52" t="s">
        <v>54</v>
      </c>
      <c r="E52" t="s">
        <v>46</v>
      </c>
      <c r="F52" t="s">
        <v>10</v>
      </c>
      <c r="G52" s="3">
        <f t="shared" ca="1" si="0"/>
        <v>11521</v>
      </c>
    </row>
    <row r="53" spans="1:7" x14ac:dyDescent="0.3">
      <c r="A53">
        <v>51</v>
      </c>
      <c r="B53" t="s">
        <v>6</v>
      </c>
      <c r="C53" t="s">
        <v>24</v>
      </c>
      <c r="D53" t="s">
        <v>55</v>
      </c>
      <c r="E53" t="s">
        <v>56</v>
      </c>
      <c r="F53" t="s">
        <v>10</v>
      </c>
      <c r="G53" s="3">
        <f t="shared" ca="1" si="0"/>
        <v>9019</v>
      </c>
    </row>
    <row r="54" spans="1:7" x14ac:dyDescent="0.3">
      <c r="A54">
        <v>52</v>
      </c>
      <c r="B54" t="s">
        <v>6</v>
      </c>
      <c r="C54" t="s">
        <v>7</v>
      </c>
      <c r="D54" t="s">
        <v>57</v>
      </c>
      <c r="E54" t="s">
        <v>58</v>
      </c>
      <c r="F54" t="s">
        <v>10</v>
      </c>
      <c r="G54" s="3">
        <f t="shared" ca="1" si="0"/>
        <v>7277</v>
      </c>
    </row>
    <row r="55" spans="1:7" x14ac:dyDescent="0.3">
      <c r="A55">
        <v>53</v>
      </c>
      <c r="B55" t="s">
        <v>6</v>
      </c>
      <c r="C55" t="s">
        <v>13</v>
      </c>
      <c r="D55" t="s">
        <v>59</v>
      </c>
      <c r="E55" t="s">
        <v>60</v>
      </c>
      <c r="F55" t="s">
        <v>10</v>
      </c>
      <c r="G55" s="3">
        <f t="shared" ca="1" si="0"/>
        <v>9967</v>
      </c>
    </row>
    <row r="56" spans="1:7" x14ac:dyDescent="0.3">
      <c r="A56">
        <v>54</v>
      </c>
      <c r="B56" t="s">
        <v>6</v>
      </c>
      <c r="C56" t="s">
        <v>13</v>
      </c>
      <c r="D56" t="s">
        <v>16</v>
      </c>
      <c r="E56" t="s">
        <v>17</v>
      </c>
      <c r="F56" t="s">
        <v>10</v>
      </c>
      <c r="G56" s="3">
        <f t="shared" ca="1" si="0"/>
        <v>9228</v>
      </c>
    </row>
    <row r="57" spans="1:7" x14ac:dyDescent="0.3">
      <c r="A57">
        <v>55</v>
      </c>
      <c r="B57" t="s">
        <v>6</v>
      </c>
      <c r="C57" t="s">
        <v>13</v>
      </c>
      <c r="D57" t="s">
        <v>16</v>
      </c>
      <c r="E57" t="s">
        <v>61</v>
      </c>
      <c r="F57" t="s">
        <v>19</v>
      </c>
      <c r="G57" s="3">
        <f t="shared" ca="1" si="0"/>
        <v>10077</v>
      </c>
    </row>
    <row r="58" spans="1:7" x14ac:dyDescent="0.3">
      <c r="A58">
        <v>56</v>
      </c>
      <c r="B58" t="s">
        <v>6</v>
      </c>
      <c r="C58" t="s">
        <v>24</v>
      </c>
      <c r="D58" t="s">
        <v>35</v>
      </c>
      <c r="E58" t="s">
        <v>62</v>
      </c>
      <c r="F58" t="s">
        <v>19</v>
      </c>
      <c r="G58" s="3">
        <f t="shared" ca="1" si="0"/>
        <v>11830</v>
      </c>
    </row>
    <row r="59" spans="1:7" x14ac:dyDescent="0.3">
      <c r="A59">
        <v>57</v>
      </c>
      <c r="B59" t="s">
        <v>6</v>
      </c>
      <c r="C59" t="s">
        <v>13</v>
      </c>
      <c r="D59" t="s">
        <v>50</v>
      </c>
      <c r="E59" t="s">
        <v>51</v>
      </c>
      <c r="F59" t="s">
        <v>10</v>
      </c>
      <c r="G59" s="3">
        <f t="shared" ca="1" si="0"/>
        <v>7408</v>
      </c>
    </row>
    <row r="60" spans="1:7" x14ac:dyDescent="0.3">
      <c r="A60">
        <v>58</v>
      </c>
      <c r="B60" t="s">
        <v>6</v>
      </c>
      <c r="C60" t="s">
        <v>13</v>
      </c>
      <c r="D60" t="s">
        <v>52</v>
      </c>
      <c r="E60" t="s">
        <v>53</v>
      </c>
      <c r="F60" t="s">
        <v>10</v>
      </c>
      <c r="G60" s="3">
        <f t="shared" ca="1" si="0"/>
        <v>10722</v>
      </c>
    </row>
    <row r="61" spans="1:7" x14ac:dyDescent="0.3">
      <c r="A61">
        <v>59</v>
      </c>
      <c r="B61" t="s">
        <v>6</v>
      </c>
      <c r="C61" t="s">
        <v>24</v>
      </c>
      <c r="D61" t="s">
        <v>54</v>
      </c>
      <c r="E61" t="s">
        <v>46</v>
      </c>
      <c r="F61" t="s">
        <v>10</v>
      </c>
      <c r="G61" s="3">
        <f t="shared" ca="1" si="0"/>
        <v>8537</v>
      </c>
    </row>
    <row r="62" spans="1:7" x14ac:dyDescent="0.3">
      <c r="A62">
        <v>60</v>
      </c>
      <c r="B62" t="s">
        <v>6</v>
      </c>
      <c r="C62" t="s">
        <v>24</v>
      </c>
      <c r="D62" t="s">
        <v>55</v>
      </c>
      <c r="E62" t="s">
        <v>56</v>
      </c>
      <c r="F62" t="s">
        <v>10</v>
      </c>
      <c r="G62" s="3">
        <f t="shared" ca="1" si="0"/>
        <v>7261</v>
      </c>
    </row>
    <row r="63" spans="1:7" x14ac:dyDescent="0.3">
      <c r="A63">
        <v>61</v>
      </c>
      <c r="B63" t="s">
        <v>6</v>
      </c>
      <c r="C63" t="s">
        <v>7</v>
      </c>
      <c r="D63" t="s">
        <v>57</v>
      </c>
      <c r="E63" t="s">
        <v>58</v>
      </c>
      <c r="F63" t="s">
        <v>10</v>
      </c>
      <c r="G63" s="3">
        <f t="shared" ca="1" si="0"/>
        <v>9888</v>
      </c>
    </row>
    <row r="64" spans="1:7" x14ac:dyDescent="0.3">
      <c r="A64">
        <v>62</v>
      </c>
      <c r="B64" t="s">
        <v>6</v>
      </c>
      <c r="C64" t="s">
        <v>13</v>
      </c>
      <c r="D64" t="s">
        <v>59</v>
      </c>
      <c r="E64" t="s">
        <v>60</v>
      </c>
      <c r="F64" t="s">
        <v>10</v>
      </c>
      <c r="G64" s="3">
        <f t="shared" ca="1" si="0"/>
        <v>6866</v>
      </c>
    </row>
    <row r="65" spans="1:7" x14ac:dyDescent="0.3">
      <c r="A65">
        <v>63</v>
      </c>
      <c r="B65" t="s">
        <v>6</v>
      </c>
      <c r="C65" t="s">
        <v>13</v>
      </c>
      <c r="D65" t="s">
        <v>16</v>
      </c>
      <c r="E65" t="s">
        <v>17</v>
      </c>
      <c r="F65" t="s">
        <v>10</v>
      </c>
      <c r="G65" s="3">
        <f t="shared" ca="1" si="0"/>
        <v>7533</v>
      </c>
    </row>
    <row r="66" spans="1:7" x14ac:dyDescent="0.3">
      <c r="A66">
        <v>64</v>
      </c>
      <c r="B66" t="s">
        <v>6</v>
      </c>
      <c r="C66" t="s">
        <v>13</v>
      </c>
      <c r="D66" t="s">
        <v>16</v>
      </c>
      <c r="E66" t="s">
        <v>61</v>
      </c>
      <c r="F66" t="s">
        <v>19</v>
      </c>
      <c r="G66" s="3">
        <f t="shared" ref="G66:G129" ca="1" si="1">RANDBETWEEN(6500,12000)</f>
        <v>9485</v>
      </c>
    </row>
    <row r="67" spans="1:7" x14ac:dyDescent="0.3">
      <c r="A67">
        <v>65</v>
      </c>
      <c r="B67" t="s">
        <v>6</v>
      </c>
      <c r="C67" t="s">
        <v>24</v>
      </c>
      <c r="D67" t="s">
        <v>35</v>
      </c>
      <c r="E67" t="s">
        <v>62</v>
      </c>
      <c r="F67" t="s">
        <v>19</v>
      </c>
      <c r="G67" s="3">
        <f t="shared" ca="1" si="1"/>
        <v>9173</v>
      </c>
    </row>
    <row r="68" spans="1:7" x14ac:dyDescent="0.3">
      <c r="A68">
        <v>66</v>
      </c>
      <c r="B68" t="s">
        <v>6</v>
      </c>
      <c r="C68" t="s">
        <v>13</v>
      </c>
      <c r="D68" t="s">
        <v>63</v>
      </c>
      <c r="E68" t="s">
        <v>64</v>
      </c>
      <c r="F68" t="s">
        <v>10</v>
      </c>
      <c r="G68" s="3">
        <f t="shared" ca="1" si="1"/>
        <v>10593</v>
      </c>
    </row>
    <row r="69" spans="1:7" x14ac:dyDescent="0.3">
      <c r="A69">
        <v>67</v>
      </c>
      <c r="B69" t="s">
        <v>6</v>
      </c>
      <c r="C69" t="s">
        <v>24</v>
      </c>
      <c r="D69" t="s">
        <v>16</v>
      </c>
      <c r="E69" t="s">
        <v>25</v>
      </c>
      <c r="F69" t="s">
        <v>10</v>
      </c>
      <c r="G69" s="3">
        <f t="shared" ca="1" si="1"/>
        <v>8221</v>
      </c>
    </row>
    <row r="70" spans="1:7" x14ac:dyDescent="0.3">
      <c r="A70">
        <v>68</v>
      </c>
      <c r="B70" t="s">
        <v>6</v>
      </c>
      <c r="C70" t="s">
        <v>13</v>
      </c>
      <c r="D70" t="s">
        <v>65</v>
      </c>
      <c r="E70" t="s">
        <v>66</v>
      </c>
      <c r="F70" t="s">
        <v>19</v>
      </c>
      <c r="G70" s="3">
        <f t="shared" ca="1" si="1"/>
        <v>9561</v>
      </c>
    </row>
    <row r="71" spans="1:7" x14ac:dyDescent="0.3">
      <c r="A71">
        <v>69</v>
      </c>
      <c r="B71" t="s">
        <v>6</v>
      </c>
      <c r="C71" t="s">
        <v>13</v>
      </c>
      <c r="D71" t="s">
        <v>67</v>
      </c>
      <c r="E71" t="s">
        <v>68</v>
      </c>
      <c r="F71" t="s">
        <v>10</v>
      </c>
      <c r="G71" s="3">
        <f t="shared" ca="1" si="1"/>
        <v>10356</v>
      </c>
    </row>
    <row r="72" spans="1:7" x14ac:dyDescent="0.3">
      <c r="A72">
        <v>70</v>
      </c>
      <c r="B72" t="s">
        <v>6</v>
      </c>
      <c r="C72" t="s">
        <v>24</v>
      </c>
      <c r="D72" t="s">
        <v>63</v>
      </c>
      <c r="E72" t="s">
        <v>69</v>
      </c>
      <c r="F72" t="s">
        <v>10</v>
      </c>
      <c r="G72" s="3">
        <f t="shared" ca="1" si="1"/>
        <v>8901</v>
      </c>
    </row>
    <row r="73" spans="1:7" x14ac:dyDescent="0.3">
      <c r="A73">
        <v>71</v>
      </c>
      <c r="B73" t="s">
        <v>6</v>
      </c>
      <c r="C73" t="s">
        <v>13</v>
      </c>
      <c r="D73" t="s">
        <v>70</v>
      </c>
      <c r="E73" t="s">
        <v>40</v>
      </c>
      <c r="F73" t="s">
        <v>19</v>
      </c>
      <c r="G73" s="3">
        <f t="shared" ca="1" si="1"/>
        <v>11169</v>
      </c>
    </row>
    <row r="74" spans="1:7" x14ac:dyDescent="0.3">
      <c r="A74">
        <v>72</v>
      </c>
      <c r="B74" t="s">
        <v>6</v>
      </c>
      <c r="C74" t="s">
        <v>7</v>
      </c>
      <c r="D74" t="s">
        <v>71</v>
      </c>
      <c r="E74" t="s">
        <v>19</v>
      </c>
      <c r="F74" t="s">
        <v>31</v>
      </c>
      <c r="G74" s="3">
        <f t="shared" ca="1" si="1"/>
        <v>11899</v>
      </c>
    </row>
    <row r="75" spans="1:7" x14ac:dyDescent="0.3">
      <c r="A75">
        <v>73</v>
      </c>
      <c r="B75" t="s">
        <v>6</v>
      </c>
      <c r="C75" t="s">
        <v>13</v>
      </c>
      <c r="D75" t="s">
        <v>47</v>
      </c>
      <c r="E75" t="s">
        <v>48</v>
      </c>
      <c r="F75" t="s">
        <v>10</v>
      </c>
      <c r="G75" s="3">
        <f t="shared" ca="1" si="1"/>
        <v>11842</v>
      </c>
    </row>
    <row r="76" spans="1:7" x14ac:dyDescent="0.3">
      <c r="A76">
        <v>74</v>
      </c>
      <c r="B76" t="s">
        <v>6</v>
      </c>
      <c r="C76" t="s">
        <v>24</v>
      </c>
      <c r="D76" t="s">
        <v>72</v>
      </c>
      <c r="E76" t="s">
        <v>48</v>
      </c>
      <c r="F76" t="s">
        <v>10</v>
      </c>
      <c r="G76" s="3">
        <f t="shared" ca="1" si="1"/>
        <v>9226</v>
      </c>
    </row>
    <row r="77" spans="1:7" x14ac:dyDescent="0.3">
      <c r="A77">
        <v>75</v>
      </c>
      <c r="B77" t="s">
        <v>6</v>
      </c>
      <c r="C77" t="s">
        <v>13</v>
      </c>
      <c r="D77" t="s">
        <v>63</v>
      </c>
      <c r="E77" t="s">
        <v>64</v>
      </c>
      <c r="F77" t="s">
        <v>10</v>
      </c>
      <c r="G77" s="3">
        <f t="shared" ca="1" si="1"/>
        <v>10048</v>
      </c>
    </row>
    <row r="78" spans="1:7" x14ac:dyDescent="0.3">
      <c r="A78">
        <v>76</v>
      </c>
      <c r="B78" t="s">
        <v>6</v>
      </c>
      <c r="C78" t="s">
        <v>24</v>
      </c>
      <c r="D78" t="s">
        <v>16</v>
      </c>
      <c r="E78" t="s">
        <v>25</v>
      </c>
      <c r="F78" t="s">
        <v>10</v>
      </c>
      <c r="G78" s="3">
        <f t="shared" ca="1" si="1"/>
        <v>8330</v>
      </c>
    </row>
    <row r="79" spans="1:7" x14ac:dyDescent="0.3">
      <c r="A79">
        <v>77</v>
      </c>
      <c r="B79" t="s">
        <v>6</v>
      </c>
      <c r="C79" t="s">
        <v>13</v>
      </c>
      <c r="D79" t="s">
        <v>65</v>
      </c>
      <c r="E79" t="s">
        <v>66</v>
      </c>
      <c r="F79" t="s">
        <v>19</v>
      </c>
      <c r="G79" s="3">
        <f t="shared" ca="1" si="1"/>
        <v>10313</v>
      </c>
    </row>
    <row r="80" spans="1:7" x14ac:dyDescent="0.3">
      <c r="A80">
        <v>78</v>
      </c>
      <c r="B80" t="s">
        <v>6</v>
      </c>
      <c r="C80" t="s">
        <v>19</v>
      </c>
      <c r="D80" t="s">
        <v>67</v>
      </c>
      <c r="E80" t="s">
        <v>68</v>
      </c>
      <c r="F80" t="s">
        <v>10</v>
      </c>
      <c r="G80" s="3">
        <f t="shared" ca="1" si="1"/>
        <v>10672</v>
      </c>
    </row>
    <row r="81" spans="1:7" x14ac:dyDescent="0.3">
      <c r="A81">
        <v>79</v>
      </c>
      <c r="B81" t="s">
        <v>6</v>
      </c>
      <c r="C81" t="s">
        <v>24</v>
      </c>
      <c r="D81" t="s">
        <v>63</v>
      </c>
      <c r="E81" t="s">
        <v>69</v>
      </c>
      <c r="F81" t="s">
        <v>10</v>
      </c>
      <c r="G81" s="3">
        <f t="shared" ca="1" si="1"/>
        <v>6841</v>
      </c>
    </row>
    <row r="82" spans="1:7" x14ac:dyDescent="0.3">
      <c r="A82">
        <v>80</v>
      </c>
      <c r="B82" t="s">
        <v>6</v>
      </c>
      <c r="C82" t="s">
        <v>13</v>
      </c>
      <c r="D82" t="s">
        <v>70</v>
      </c>
      <c r="E82" t="s">
        <v>40</v>
      </c>
      <c r="F82" t="s">
        <v>19</v>
      </c>
      <c r="G82" s="3">
        <f t="shared" ca="1" si="1"/>
        <v>8194</v>
      </c>
    </row>
    <row r="83" spans="1:7" x14ac:dyDescent="0.3">
      <c r="A83">
        <v>81</v>
      </c>
      <c r="B83" t="s">
        <v>6</v>
      </c>
      <c r="C83" t="s">
        <v>7</v>
      </c>
      <c r="D83" t="s">
        <v>71</v>
      </c>
      <c r="E83" t="s">
        <v>19</v>
      </c>
      <c r="F83" t="s">
        <v>31</v>
      </c>
      <c r="G83" s="3">
        <f t="shared" ca="1" si="1"/>
        <v>7414</v>
      </c>
    </row>
    <row r="84" spans="1:7" x14ac:dyDescent="0.3">
      <c r="A84">
        <v>82</v>
      </c>
      <c r="B84" t="s">
        <v>6</v>
      </c>
      <c r="C84" t="s">
        <v>13</v>
      </c>
      <c r="D84" t="s">
        <v>47</v>
      </c>
      <c r="E84" t="s">
        <v>48</v>
      </c>
      <c r="F84" t="s">
        <v>10</v>
      </c>
      <c r="G84" s="3">
        <f t="shared" ca="1" si="1"/>
        <v>10157</v>
      </c>
    </row>
    <row r="85" spans="1:7" x14ac:dyDescent="0.3">
      <c r="A85">
        <v>83</v>
      </c>
      <c r="B85" t="s">
        <v>6</v>
      </c>
      <c r="C85" t="s">
        <v>24</v>
      </c>
      <c r="D85" t="s">
        <v>72</v>
      </c>
      <c r="E85" t="s">
        <v>48</v>
      </c>
      <c r="F85" t="s">
        <v>10</v>
      </c>
      <c r="G85" s="3">
        <f t="shared" ca="1" si="1"/>
        <v>8807</v>
      </c>
    </row>
    <row r="86" spans="1:7" x14ac:dyDescent="0.3">
      <c r="A86">
        <v>84</v>
      </c>
      <c r="B86" t="s">
        <v>6</v>
      </c>
      <c r="C86" t="s">
        <v>13</v>
      </c>
      <c r="D86" t="s">
        <v>63</v>
      </c>
      <c r="E86" t="s">
        <v>73</v>
      </c>
      <c r="F86" t="s">
        <v>10</v>
      </c>
      <c r="G86" s="3">
        <f t="shared" ca="1" si="1"/>
        <v>9820</v>
      </c>
    </row>
    <row r="87" spans="1:7" x14ac:dyDescent="0.3">
      <c r="A87">
        <v>85</v>
      </c>
      <c r="B87" t="s">
        <v>6</v>
      </c>
      <c r="C87" t="s">
        <v>13</v>
      </c>
      <c r="D87" t="s">
        <v>29</v>
      </c>
      <c r="E87" t="s">
        <v>30</v>
      </c>
      <c r="F87" t="s">
        <v>31</v>
      </c>
      <c r="G87" s="3">
        <f t="shared" ca="1" si="1"/>
        <v>8032</v>
      </c>
    </row>
    <row r="88" spans="1:7" x14ac:dyDescent="0.3">
      <c r="A88">
        <v>86</v>
      </c>
      <c r="B88" t="s">
        <v>6</v>
      </c>
      <c r="C88" t="s">
        <v>24</v>
      </c>
      <c r="D88" t="s">
        <v>27</v>
      </c>
      <c r="E88" t="s">
        <v>28</v>
      </c>
      <c r="F88" t="s">
        <v>10</v>
      </c>
      <c r="G88" s="3">
        <f t="shared" ca="1" si="1"/>
        <v>7288</v>
      </c>
    </row>
    <row r="89" spans="1:7" x14ac:dyDescent="0.3">
      <c r="A89">
        <v>87</v>
      </c>
      <c r="B89" t="s">
        <v>6</v>
      </c>
      <c r="C89" t="s">
        <v>13</v>
      </c>
      <c r="D89" t="s">
        <v>74</v>
      </c>
      <c r="E89" t="s">
        <v>75</v>
      </c>
      <c r="F89" t="s">
        <v>10</v>
      </c>
      <c r="G89" s="3">
        <f t="shared" ca="1" si="1"/>
        <v>10507</v>
      </c>
    </row>
    <row r="90" spans="1:7" x14ac:dyDescent="0.3">
      <c r="A90">
        <v>88</v>
      </c>
      <c r="B90" t="s">
        <v>6</v>
      </c>
      <c r="C90" t="s">
        <v>7</v>
      </c>
      <c r="D90" t="s">
        <v>76</v>
      </c>
      <c r="E90" t="s">
        <v>77</v>
      </c>
      <c r="F90" t="s">
        <v>10</v>
      </c>
      <c r="G90" s="3">
        <f t="shared" ca="1" si="1"/>
        <v>6802</v>
      </c>
    </row>
    <row r="91" spans="1:7" x14ac:dyDescent="0.3">
      <c r="A91">
        <v>89</v>
      </c>
      <c r="B91" t="s">
        <v>6</v>
      </c>
      <c r="C91" t="s">
        <v>13</v>
      </c>
      <c r="D91" t="s">
        <v>78</v>
      </c>
      <c r="E91" t="s">
        <v>19</v>
      </c>
      <c r="F91" t="s">
        <v>10</v>
      </c>
      <c r="G91" s="3">
        <f t="shared" ca="1" si="1"/>
        <v>6949</v>
      </c>
    </row>
    <row r="92" spans="1:7" x14ac:dyDescent="0.3">
      <c r="A92">
        <v>90</v>
      </c>
      <c r="B92" t="s">
        <v>6</v>
      </c>
      <c r="C92" t="s">
        <v>7</v>
      </c>
      <c r="D92" t="s">
        <v>71</v>
      </c>
      <c r="E92" t="s">
        <v>19</v>
      </c>
      <c r="F92" t="s">
        <v>31</v>
      </c>
      <c r="G92" s="3">
        <f t="shared" ca="1" si="1"/>
        <v>7000</v>
      </c>
    </row>
    <row r="93" spans="1:7" x14ac:dyDescent="0.3">
      <c r="A93">
        <v>91</v>
      </c>
      <c r="B93" t="s">
        <v>6</v>
      </c>
      <c r="C93" t="s">
        <v>7</v>
      </c>
      <c r="D93" t="s">
        <v>79</v>
      </c>
      <c r="E93" t="s">
        <v>19</v>
      </c>
      <c r="F93" t="s">
        <v>19</v>
      </c>
      <c r="G93" s="3">
        <f t="shared" ca="1" si="1"/>
        <v>7887</v>
      </c>
    </row>
    <row r="94" spans="1:7" x14ac:dyDescent="0.3">
      <c r="A94">
        <v>92</v>
      </c>
      <c r="B94" t="s">
        <v>6</v>
      </c>
      <c r="C94" t="s">
        <v>13</v>
      </c>
      <c r="D94" t="s">
        <v>80</v>
      </c>
      <c r="E94" t="s">
        <v>48</v>
      </c>
      <c r="F94" t="s">
        <v>10</v>
      </c>
      <c r="G94" s="3">
        <f t="shared" ca="1" si="1"/>
        <v>8025</v>
      </c>
    </row>
    <row r="95" spans="1:7" x14ac:dyDescent="0.3">
      <c r="A95">
        <v>93</v>
      </c>
      <c r="B95" t="s">
        <v>6</v>
      </c>
      <c r="C95" t="s">
        <v>13</v>
      </c>
      <c r="D95" t="s">
        <v>81</v>
      </c>
      <c r="E95" t="s">
        <v>82</v>
      </c>
      <c r="F95" t="s">
        <v>10</v>
      </c>
      <c r="G95" s="3">
        <f t="shared" ca="1" si="1"/>
        <v>8880</v>
      </c>
    </row>
    <row r="96" spans="1:7" x14ac:dyDescent="0.3">
      <c r="A96">
        <v>94</v>
      </c>
      <c r="B96" t="s">
        <v>6</v>
      </c>
      <c r="C96" t="s">
        <v>13</v>
      </c>
      <c r="D96" t="s">
        <v>83</v>
      </c>
      <c r="E96" t="s">
        <v>19</v>
      </c>
      <c r="F96" t="s">
        <v>10</v>
      </c>
      <c r="G96" s="3">
        <f t="shared" ca="1" si="1"/>
        <v>9945</v>
      </c>
    </row>
    <row r="97" spans="1:7" x14ac:dyDescent="0.3">
      <c r="A97">
        <v>95</v>
      </c>
      <c r="B97" t="s">
        <v>6</v>
      </c>
      <c r="C97" t="s">
        <v>7</v>
      </c>
      <c r="D97" t="s">
        <v>16</v>
      </c>
      <c r="E97" t="s">
        <v>84</v>
      </c>
      <c r="F97" t="s">
        <v>10</v>
      </c>
      <c r="G97" s="3">
        <f t="shared" ca="1" si="1"/>
        <v>9531</v>
      </c>
    </row>
    <row r="98" spans="1:7" x14ac:dyDescent="0.3">
      <c r="A98">
        <v>96</v>
      </c>
      <c r="B98" t="s">
        <v>6</v>
      </c>
      <c r="C98" t="s">
        <v>24</v>
      </c>
      <c r="D98" t="s">
        <v>16</v>
      </c>
      <c r="E98" t="s">
        <v>85</v>
      </c>
      <c r="F98" t="s">
        <v>10</v>
      </c>
      <c r="G98" s="3">
        <f t="shared" ca="1" si="1"/>
        <v>8837</v>
      </c>
    </row>
    <row r="99" spans="1:7" x14ac:dyDescent="0.3">
      <c r="A99">
        <v>97</v>
      </c>
      <c r="B99" t="s">
        <v>6</v>
      </c>
      <c r="C99" t="s">
        <v>7</v>
      </c>
      <c r="D99" t="s">
        <v>86</v>
      </c>
      <c r="E99" t="s">
        <v>19</v>
      </c>
      <c r="F99" t="s">
        <v>10</v>
      </c>
      <c r="G99" s="3">
        <f t="shared" ca="1" si="1"/>
        <v>9382</v>
      </c>
    </row>
    <row r="100" spans="1:7" x14ac:dyDescent="0.3">
      <c r="A100">
        <v>98</v>
      </c>
      <c r="B100" t="s">
        <v>6</v>
      </c>
      <c r="C100" t="s">
        <v>7</v>
      </c>
      <c r="D100" t="s">
        <v>22</v>
      </c>
      <c r="E100" t="s">
        <v>23</v>
      </c>
      <c r="F100" t="s">
        <v>10</v>
      </c>
      <c r="G100" s="3">
        <f t="shared" ca="1" si="1"/>
        <v>7677</v>
      </c>
    </row>
    <row r="101" spans="1:7" x14ac:dyDescent="0.3">
      <c r="A101">
        <v>99</v>
      </c>
      <c r="B101" t="s">
        <v>6</v>
      </c>
      <c r="C101" t="s">
        <v>13</v>
      </c>
      <c r="D101" t="s">
        <v>87</v>
      </c>
      <c r="E101" t="s">
        <v>88</v>
      </c>
      <c r="F101" t="s">
        <v>10</v>
      </c>
      <c r="G101" s="3">
        <f t="shared" ca="1" si="1"/>
        <v>7121</v>
      </c>
    </row>
    <row r="102" spans="1:7" x14ac:dyDescent="0.3">
      <c r="A102">
        <v>100</v>
      </c>
      <c r="B102" t="s">
        <v>6</v>
      </c>
      <c r="C102" t="s">
        <v>24</v>
      </c>
      <c r="D102" t="s">
        <v>89</v>
      </c>
      <c r="E102" t="s">
        <v>90</v>
      </c>
      <c r="F102" t="s">
        <v>10</v>
      </c>
      <c r="G102" s="3">
        <f t="shared" ca="1" si="1"/>
        <v>7834</v>
      </c>
    </row>
    <row r="103" spans="1:7" x14ac:dyDescent="0.3">
      <c r="A103">
        <v>101</v>
      </c>
      <c r="B103" t="s">
        <v>6</v>
      </c>
      <c r="C103" t="s">
        <v>13</v>
      </c>
      <c r="D103" t="s">
        <v>91</v>
      </c>
      <c r="E103" t="s">
        <v>92</v>
      </c>
      <c r="F103" t="s">
        <v>31</v>
      </c>
      <c r="G103" s="3">
        <f t="shared" ca="1" si="1"/>
        <v>9522</v>
      </c>
    </row>
    <row r="104" spans="1:7" x14ac:dyDescent="0.3">
      <c r="A104">
        <v>102</v>
      </c>
      <c r="B104" t="s">
        <v>6</v>
      </c>
      <c r="C104" t="s">
        <v>13</v>
      </c>
      <c r="D104" t="s">
        <v>16</v>
      </c>
      <c r="E104" t="s">
        <v>93</v>
      </c>
      <c r="F104" t="s">
        <v>10</v>
      </c>
      <c r="G104" s="3">
        <f t="shared" ca="1" si="1"/>
        <v>9937</v>
      </c>
    </row>
    <row r="105" spans="1:7" x14ac:dyDescent="0.3">
      <c r="A105">
        <v>103</v>
      </c>
      <c r="B105" t="s">
        <v>6</v>
      </c>
      <c r="C105" t="s">
        <v>13</v>
      </c>
      <c r="D105" t="s">
        <v>94</v>
      </c>
      <c r="E105" t="s">
        <v>75</v>
      </c>
      <c r="F105" t="s">
        <v>19</v>
      </c>
      <c r="G105" s="3">
        <f t="shared" ca="1" si="1"/>
        <v>8907</v>
      </c>
    </row>
    <row r="106" spans="1:7" x14ac:dyDescent="0.3">
      <c r="A106">
        <v>104</v>
      </c>
      <c r="B106" t="s">
        <v>6</v>
      </c>
      <c r="C106" t="s">
        <v>24</v>
      </c>
      <c r="D106" t="s">
        <v>95</v>
      </c>
      <c r="E106" t="s">
        <v>96</v>
      </c>
      <c r="F106" t="s">
        <v>10</v>
      </c>
      <c r="G106" s="3">
        <f t="shared" ca="1" si="1"/>
        <v>6974</v>
      </c>
    </row>
    <row r="107" spans="1:7" x14ac:dyDescent="0.3">
      <c r="A107">
        <v>105</v>
      </c>
      <c r="B107" t="s">
        <v>6</v>
      </c>
      <c r="C107" t="s">
        <v>13</v>
      </c>
      <c r="D107" t="s">
        <v>97</v>
      </c>
      <c r="E107" t="s">
        <v>19</v>
      </c>
      <c r="F107" t="s">
        <v>10</v>
      </c>
      <c r="G107" s="3">
        <f t="shared" ca="1" si="1"/>
        <v>6544</v>
      </c>
    </row>
    <row r="108" spans="1:7" x14ac:dyDescent="0.3">
      <c r="A108">
        <v>106</v>
      </c>
      <c r="B108" t="s">
        <v>6</v>
      </c>
      <c r="C108" t="s">
        <v>13</v>
      </c>
      <c r="D108" t="s">
        <v>98</v>
      </c>
      <c r="E108" t="s">
        <v>99</v>
      </c>
      <c r="F108" t="s">
        <v>31</v>
      </c>
      <c r="G108" s="3">
        <f t="shared" ca="1" si="1"/>
        <v>9609</v>
      </c>
    </row>
    <row r="109" spans="1:7" x14ac:dyDescent="0.3">
      <c r="A109">
        <v>107</v>
      </c>
      <c r="B109" t="s">
        <v>6</v>
      </c>
      <c r="C109" t="s">
        <v>13</v>
      </c>
      <c r="D109" t="s">
        <v>100</v>
      </c>
      <c r="E109" t="s">
        <v>101</v>
      </c>
      <c r="F109" t="s">
        <v>31</v>
      </c>
      <c r="G109" s="3">
        <f t="shared" ca="1" si="1"/>
        <v>6801</v>
      </c>
    </row>
    <row r="110" spans="1:7" x14ac:dyDescent="0.3">
      <c r="A110">
        <v>108</v>
      </c>
      <c r="B110" t="s">
        <v>6</v>
      </c>
      <c r="C110" t="s">
        <v>13</v>
      </c>
      <c r="D110" t="s">
        <v>102</v>
      </c>
      <c r="E110" t="s">
        <v>103</v>
      </c>
      <c r="F110" t="s">
        <v>104</v>
      </c>
      <c r="G110" s="3">
        <f t="shared" ca="1" si="1"/>
        <v>11757</v>
      </c>
    </row>
    <row r="111" spans="1:7" x14ac:dyDescent="0.3">
      <c r="A111">
        <v>109</v>
      </c>
      <c r="B111" t="s">
        <v>6</v>
      </c>
      <c r="C111" t="s">
        <v>7</v>
      </c>
      <c r="D111" t="s">
        <v>105</v>
      </c>
      <c r="E111" t="s">
        <v>106</v>
      </c>
      <c r="F111" t="s">
        <v>10</v>
      </c>
      <c r="G111" s="3">
        <f t="shared" ca="1" si="1"/>
        <v>9413</v>
      </c>
    </row>
    <row r="112" spans="1:7" x14ac:dyDescent="0.3">
      <c r="A112">
        <v>110</v>
      </c>
      <c r="B112" t="s">
        <v>6</v>
      </c>
      <c r="C112" t="s">
        <v>19</v>
      </c>
      <c r="D112" t="s">
        <v>19</v>
      </c>
      <c r="E112" t="s">
        <v>19</v>
      </c>
      <c r="F112" t="s">
        <v>19</v>
      </c>
      <c r="G112" s="3">
        <f t="shared" ca="1" si="1"/>
        <v>11302</v>
      </c>
    </row>
    <row r="113" spans="1:7" x14ac:dyDescent="0.3">
      <c r="A113">
        <v>111</v>
      </c>
      <c r="B113" t="s">
        <v>6</v>
      </c>
      <c r="C113" t="s">
        <v>13</v>
      </c>
      <c r="D113" t="s">
        <v>107</v>
      </c>
      <c r="E113" t="s">
        <v>108</v>
      </c>
      <c r="F113" t="s">
        <v>10</v>
      </c>
      <c r="G113" s="3">
        <f t="shared" ca="1" si="1"/>
        <v>7180</v>
      </c>
    </row>
    <row r="114" spans="1:7" x14ac:dyDescent="0.3">
      <c r="A114">
        <v>112</v>
      </c>
      <c r="B114" t="s">
        <v>6</v>
      </c>
      <c r="C114" t="s">
        <v>24</v>
      </c>
      <c r="D114" t="s">
        <v>109</v>
      </c>
      <c r="E114" t="s">
        <v>110</v>
      </c>
      <c r="F114" t="s">
        <v>10</v>
      </c>
      <c r="G114" s="3">
        <f t="shared" ca="1" si="1"/>
        <v>8452</v>
      </c>
    </row>
    <row r="115" spans="1:7" x14ac:dyDescent="0.3">
      <c r="A115">
        <v>113</v>
      </c>
      <c r="B115" t="s">
        <v>6</v>
      </c>
      <c r="C115" t="s">
        <v>19</v>
      </c>
      <c r="D115" t="s">
        <v>111</v>
      </c>
      <c r="E115" t="s">
        <v>112</v>
      </c>
      <c r="F115" t="s">
        <v>10</v>
      </c>
      <c r="G115" s="3">
        <f t="shared" ca="1" si="1"/>
        <v>7438</v>
      </c>
    </row>
    <row r="116" spans="1:7" x14ac:dyDescent="0.3">
      <c r="A116">
        <v>114</v>
      </c>
      <c r="B116" t="s">
        <v>6</v>
      </c>
      <c r="C116" t="s">
        <v>24</v>
      </c>
      <c r="D116" t="s">
        <v>16</v>
      </c>
      <c r="E116" t="s">
        <v>85</v>
      </c>
      <c r="F116" t="s">
        <v>10</v>
      </c>
      <c r="G116" s="3">
        <f t="shared" ca="1" si="1"/>
        <v>9663</v>
      </c>
    </row>
    <row r="117" spans="1:7" x14ac:dyDescent="0.3">
      <c r="A117">
        <v>115</v>
      </c>
      <c r="B117" t="s">
        <v>6</v>
      </c>
      <c r="C117" t="s">
        <v>7</v>
      </c>
      <c r="D117" t="s">
        <v>113</v>
      </c>
      <c r="E117" t="s">
        <v>19</v>
      </c>
      <c r="F117" t="s">
        <v>19</v>
      </c>
      <c r="G117" s="3">
        <f t="shared" ca="1" si="1"/>
        <v>7674</v>
      </c>
    </row>
    <row r="118" spans="1:7" x14ac:dyDescent="0.3">
      <c r="A118">
        <v>116</v>
      </c>
      <c r="B118" t="s">
        <v>6</v>
      </c>
      <c r="C118" t="s">
        <v>24</v>
      </c>
      <c r="D118" t="s">
        <v>114</v>
      </c>
      <c r="E118" t="s">
        <v>56</v>
      </c>
      <c r="F118" t="s">
        <v>10</v>
      </c>
      <c r="G118" s="3">
        <f t="shared" ca="1" si="1"/>
        <v>8494</v>
      </c>
    </row>
    <row r="119" spans="1:7" x14ac:dyDescent="0.3">
      <c r="A119">
        <v>117</v>
      </c>
      <c r="B119" t="s">
        <v>6</v>
      </c>
      <c r="C119" t="s">
        <v>7</v>
      </c>
      <c r="D119" t="s">
        <v>115</v>
      </c>
      <c r="E119" t="s">
        <v>116</v>
      </c>
      <c r="F119" t="s">
        <v>19</v>
      </c>
      <c r="G119" s="3">
        <f t="shared" ca="1" si="1"/>
        <v>8281</v>
      </c>
    </row>
    <row r="120" spans="1:7" x14ac:dyDescent="0.3">
      <c r="A120">
        <v>118</v>
      </c>
      <c r="B120" t="s">
        <v>6</v>
      </c>
      <c r="C120" t="s">
        <v>13</v>
      </c>
      <c r="D120" t="s">
        <v>39</v>
      </c>
      <c r="E120" t="s">
        <v>40</v>
      </c>
      <c r="F120" t="s">
        <v>19</v>
      </c>
      <c r="G120" s="3">
        <f t="shared" ca="1" si="1"/>
        <v>11160</v>
      </c>
    </row>
    <row r="121" spans="1:7" x14ac:dyDescent="0.3">
      <c r="A121">
        <v>119</v>
      </c>
      <c r="B121" t="s">
        <v>6</v>
      </c>
      <c r="C121" t="s">
        <v>13</v>
      </c>
      <c r="D121" t="s">
        <v>80</v>
      </c>
      <c r="E121" t="s">
        <v>117</v>
      </c>
      <c r="F121" t="s">
        <v>10</v>
      </c>
      <c r="G121" s="3">
        <f t="shared" ca="1" si="1"/>
        <v>10546</v>
      </c>
    </row>
    <row r="122" spans="1:7" x14ac:dyDescent="0.3">
      <c r="A122">
        <v>120</v>
      </c>
      <c r="B122" t="s">
        <v>6</v>
      </c>
      <c r="C122" t="s">
        <v>13</v>
      </c>
      <c r="D122" t="s">
        <v>118</v>
      </c>
      <c r="E122" t="s">
        <v>19</v>
      </c>
      <c r="F122" t="s">
        <v>10</v>
      </c>
      <c r="G122" s="3">
        <f t="shared" ca="1" si="1"/>
        <v>10280</v>
      </c>
    </row>
    <row r="123" spans="1:7" x14ac:dyDescent="0.3">
      <c r="A123">
        <v>121</v>
      </c>
      <c r="B123" t="s">
        <v>6</v>
      </c>
      <c r="C123" t="s">
        <v>13</v>
      </c>
      <c r="D123" t="s">
        <v>119</v>
      </c>
      <c r="E123" t="s">
        <v>120</v>
      </c>
      <c r="F123" t="s">
        <v>10</v>
      </c>
      <c r="G123" s="3">
        <f t="shared" ca="1" si="1"/>
        <v>10428</v>
      </c>
    </row>
    <row r="124" spans="1:7" x14ac:dyDescent="0.3">
      <c r="A124">
        <v>122</v>
      </c>
      <c r="B124" t="s">
        <v>6</v>
      </c>
      <c r="C124" t="s">
        <v>24</v>
      </c>
      <c r="D124" t="s">
        <v>121</v>
      </c>
      <c r="E124" t="s">
        <v>19</v>
      </c>
      <c r="F124" t="s">
        <v>10</v>
      </c>
      <c r="G124" s="3">
        <f t="shared" ca="1" si="1"/>
        <v>9869</v>
      </c>
    </row>
    <row r="125" spans="1:7" x14ac:dyDescent="0.3">
      <c r="A125">
        <v>123</v>
      </c>
      <c r="B125" t="s">
        <v>6</v>
      </c>
      <c r="C125" t="s">
        <v>13</v>
      </c>
      <c r="D125" t="s">
        <v>16</v>
      </c>
      <c r="E125" t="s">
        <v>93</v>
      </c>
      <c r="F125" t="s">
        <v>10</v>
      </c>
      <c r="G125" s="3">
        <f t="shared" ca="1" si="1"/>
        <v>7362</v>
      </c>
    </row>
    <row r="126" spans="1:7" x14ac:dyDescent="0.3">
      <c r="A126">
        <v>124</v>
      </c>
      <c r="B126" t="s">
        <v>6</v>
      </c>
      <c r="C126" t="s">
        <v>7</v>
      </c>
      <c r="D126" t="s">
        <v>122</v>
      </c>
      <c r="E126" t="s">
        <v>19</v>
      </c>
      <c r="F126" t="s">
        <v>19</v>
      </c>
      <c r="G126" s="3">
        <f t="shared" ca="1" si="1"/>
        <v>6747</v>
      </c>
    </row>
    <row r="127" spans="1:7" x14ac:dyDescent="0.3">
      <c r="A127">
        <v>125</v>
      </c>
      <c r="B127" t="s">
        <v>6</v>
      </c>
      <c r="C127" t="s">
        <v>13</v>
      </c>
      <c r="D127" t="s">
        <v>97</v>
      </c>
      <c r="E127" t="s">
        <v>19</v>
      </c>
      <c r="F127" t="s">
        <v>10</v>
      </c>
      <c r="G127" s="3">
        <f t="shared" ca="1" si="1"/>
        <v>6504</v>
      </c>
    </row>
    <row r="128" spans="1:7" x14ac:dyDescent="0.3">
      <c r="A128">
        <v>126</v>
      </c>
      <c r="B128" t="s">
        <v>6</v>
      </c>
      <c r="C128" t="s">
        <v>13</v>
      </c>
      <c r="D128" t="s">
        <v>118</v>
      </c>
      <c r="E128" t="s">
        <v>123</v>
      </c>
      <c r="F128" t="s">
        <v>10</v>
      </c>
      <c r="G128" s="3">
        <f t="shared" ca="1" si="1"/>
        <v>7162</v>
      </c>
    </row>
    <row r="129" spans="1:7" x14ac:dyDescent="0.3">
      <c r="A129">
        <v>127</v>
      </c>
      <c r="B129" t="s">
        <v>6</v>
      </c>
      <c r="C129" t="s">
        <v>13</v>
      </c>
      <c r="D129" t="s">
        <v>16</v>
      </c>
      <c r="E129" t="s">
        <v>99</v>
      </c>
      <c r="F129" t="s">
        <v>31</v>
      </c>
      <c r="G129" s="3">
        <f t="shared" ca="1" si="1"/>
        <v>6530</v>
      </c>
    </row>
    <row r="130" spans="1:7" x14ac:dyDescent="0.3">
      <c r="A130">
        <v>128</v>
      </c>
      <c r="B130" t="s">
        <v>6</v>
      </c>
      <c r="C130" t="s">
        <v>13</v>
      </c>
      <c r="D130" t="s">
        <v>124</v>
      </c>
      <c r="E130" t="s">
        <v>84</v>
      </c>
      <c r="F130" t="s">
        <v>10</v>
      </c>
      <c r="G130" s="3">
        <f t="shared" ref="G130:G193" ca="1" si="2">RANDBETWEEN(6500,12000)</f>
        <v>9086</v>
      </c>
    </row>
    <row r="131" spans="1:7" x14ac:dyDescent="0.3">
      <c r="A131">
        <v>129</v>
      </c>
      <c r="B131" t="s">
        <v>6</v>
      </c>
      <c r="C131" t="s">
        <v>13</v>
      </c>
      <c r="D131" t="s">
        <v>80</v>
      </c>
      <c r="E131" t="s">
        <v>125</v>
      </c>
      <c r="F131" t="s">
        <v>10</v>
      </c>
      <c r="G131" s="3">
        <f t="shared" ca="1" si="2"/>
        <v>10324</v>
      </c>
    </row>
    <row r="132" spans="1:7" x14ac:dyDescent="0.3">
      <c r="A132">
        <v>130</v>
      </c>
      <c r="B132" t="s">
        <v>6</v>
      </c>
      <c r="C132" t="s">
        <v>7</v>
      </c>
      <c r="D132" t="s">
        <v>80</v>
      </c>
      <c r="E132" t="s">
        <v>126</v>
      </c>
      <c r="F132" t="s">
        <v>10</v>
      </c>
      <c r="G132" s="3">
        <f t="shared" ca="1" si="2"/>
        <v>9221</v>
      </c>
    </row>
    <row r="133" spans="1:7" x14ac:dyDescent="0.3">
      <c r="A133">
        <v>131</v>
      </c>
      <c r="B133" t="s">
        <v>6</v>
      </c>
      <c r="C133" t="s">
        <v>13</v>
      </c>
      <c r="D133" t="s">
        <v>127</v>
      </c>
      <c r="E133" t="s">
        <v>128</v>
      </c>
      <c r="F133" t="s">
        <v>10</v>
      </c>
      <c r="G133" s="3">
        <f t="shared" ca="1" si="2"/>
        <v>7444</v>
      </c>
    </row>
    <row r="134" spans="1:7" x14ac:dyDescent="0.3">
      <c r="A134">
        <v>132</v>
      </c>
      <c r="B134" t="s">
        <v>6</v>
      </c>
      <c r="C134" t="s">
        <v>7</v>
      </c>
      <c r="D134" t="s">
        <v>45</v>
      </c>
      <c r="E134" t="s">
        <v>129</v>
      </c>
      <c r="F134" t="s">
        <v>19</v>
      </c>
      <c r="G134" s="3">
        <f t="shared" ca="1" si="2"/>
        <v>9523</v>
      </c>
    </row>
    <row r="135" spans="1:7" x14ac:dyDescent="0.3">
      <c r="A135">
        <v>133</v>
      </c>
      <c r="B135" t="s">
        <v>6</v>
      </c>
      <c r="C135" t="s">
        <v>13</v>
      </c>
      <c r="D135" t="s">
        <v>11</v>
      </c>
      <c r="E135" t="s">
        <v>9</v>
      </c>
      <c r="F135" t="s">
        <v>10</v>
      </c>
      <c r="G135" s="3">
        <f t="shared" ca="1" si="2"/>
        <v>6957</v>
      </c>
    </row>
    <row r="136" spans="1:7" x14ac:dyDescent="0.3">
      <c r="A136">
        <v>134</v>
      </c>
      <c r="B136" t="s">
        <v>6</v>
      </c>
      <c r="C136" t="s">
        <v>7</v>
      </c>
      <c r="D136" t="s">
        <v>122</v>
      </c>
      <c r="E136" t="s">
        <v>19</v>
      </c>
      <c r="F136" t="s">
        <v>19</v>
      </c>
      <c r="G136" s="3">
        <f t="shared" ca="1" si="2"/>
        <v>7264</v>
      </c>
    </row>
    <row r="137" spans="1:7" x14ac:dyDescent="0.3">
      <c r="A137">
        <v>135</v>
      </c>
      <c r="B137" t="s">
        <v>6</v>
      </c>
      <c r="C137" t="s">
        <v>24</v>
      </c>
      <c r="D137" t="s">
        <v>16</v>
      </c>
      <c r="E137" t="s">
        <v>130</v>
      </c>
      <c r="F137" t="s">
        <v>10</v>
      </c>
      <c r="G137" s="3">
        <f t="shared" ca="1" si="2"/>
        <v>7221</v>
      </c>
    </row>
    <row r="138" spans="1:7" x14ac:dyDescent="0.3">
      <c r="A138">
        <v>136</v>
      </c>
      <c r="B138" t="s">
        <v>6</v>
      </c>
      <c r="C138" t="s">
        <v>13</v>
      </c>
      <c r="D138" t="s">
        <v>131</v>
      </c>
      <c r="E138" t="s">
        <v>132</v>
      </c>
      <c r="F138" t="s">
        <v>10</v>
      </c>
      <c r="G138" s="3">
        <f t="shared" ca="1" si="2"/>
        <v>7674</v>
      </c>
    </row>
    <row r="139" spans="1:7" x14ac:dyDescent="0.3">
      <c r="A139">
        <v>137</v>
      </c>
      <c r="B139" t="s">
        <v>6</v>
      </c>
      <c r="C139" t="s">
        <v>24</v>
      </c>
      <c r="D139" t="s">
        <v>35</v>
      </c>
      <c r="E139" t="s">
        <v>85</v>
      </c>
      <c r="F139" t="s">
        <v>10</v>
      </c>
      <c r="G139" s="3">
        <f t="shared" ca="1" si="2"/>
        <v>11411</v>
      </c>
    </row>
    <row r="140" spans="1:7" x14ac:dyDescent="0.3">
      <c r="A140">
        <v>138</v>
      </c>
      <c r="B140" t="s">
        <v>6</v>
      </c>
      <c r="C140" t="s">
        <v>24</v>
      </c>
      <c r="D140" t="s">
        <v>16</v>
      </c>
      <c r="E140" t="s">
        <v>19</v>
      </c>
      <c r="F140" t="s">
        <v>10</v>
      </c>
      <c r="G140" s="3">
        <f t="shared" ca="1" si="2"/>
        <v>10249</v>
      </c>
    </row>
    <row r="141" spans="1:7" x14ac:dyDescent="0.3">
      <c r="A141">
        <v>139</v>
      </c>
      <c r="B141" t="s">
        <v>6</v>
      </c>
      <c r="C141" t="s">
        <v>7</v>
      </c>
      <c r="D141" t="s">
        <v>67</v>
      </c>
      <c r="E141" t="s">
        <v>85</v>
      </c>
      <c r="F141" t="s">
        <v>10</v>
      </c>
      <c r="G141" s="3">
        <f t="shared" ca="1" si="2"/>
        <v>11432</v>
      </c>
    </row>
    <row r="142" spans="1:7" x14ac:dyDescent="0.3">
      <c r="A142">
        <v>140</v>
      </c>
      <c r="B142" t="s">
        <v>6</v>
      </c>
      <c r="C142" t="s">
        <v>24</v>
      </c>
      <c r="D142" t="s">
        <v>133</v>
      </c>
      <c r="E142" t="s">
        <v>134</v>
      </c>
      <c r="F142" t="s">
        <v>19</v>
      </c>
      <c r="G142" s="3">
        <f t="shared" ca="1" si="2"/>
        <v>11035</v>
      </c>
    </row>
    <row r="143" spans="1:7" x14ac:dyDescent="0.3">
      <c r="A143">
        <v>141</v>
      </c>
      <c r="B143" t="s">
        <v>6</v>
      </c>
      <c r="C143" t="s">
        <v>24</v>
      </c>
      <c r="D143" t="s">
        <v>135</v>
      </c>
      <c r="E143" t="s">
        <v>136</v>
      </c>
      <c r="F143" t="s">
        <v>10</v>
      </c>
      <c r="G143" s="3">
        <f t="shared" ca="1" si="2"/>
        <v>7705</v>
      </c>
    </row>
    <row r="144" spans="1:7" x14ac:dyDescent="0.3">
      <c r="A144">
        <v>142</v>
      </c>
      <c r="B144" t="s">
        <v>6</v>
      </c>
      <c r="C144" t="s">
        <v>24</v>
      </c>
      <c r="D144" t="s">
        <v>137</v>
      </c>
      <c r="E144" t="s">
        <v>19</v>
      </c>
      <c r="F144" t="s">
        <v>10</v>
      </c>
      <c r="G144" s="3">
        <f t="shared" ca="1" si="2"/>
        <v>9620</v>
      </c>
    </row>
    <row r="145" spans="1:7" x14ac:dyDescent="0.3">
      <c r="A145">
        <v>143</v>
      </c>
      <c r="B145" t="s">
        <v>6</v>
      </c>
      <c r="C145" t="s">
        <v>7</v>
      </c>
      <c r="D145" t="s">
        <v>22</v>
      </c>
      <c r="E145" t="s">
        <v>19</v>
      </c>
      <c r="F145" t="s">
        <v>31</v>
      </c>
      <c r="G145" s="3">
        <f t="shared" ca="1" si="2"/>
        <v>11501</v>
      </c>
    </row>
    <row r="146" spans="1:7" x14ac:dyDescent="0.3">
      <c r="A146">
        <v>144</v>
      </c>
      <c r="B146" t="s">
        <v>6</v>
      </c>
      <c r="C146" t="s">
        <v>13</v>
      </c>
      <c r="D146" t="s">
        <v>14</v>
      </c>
      <c r="E146" t="s">
        <v>15</v>
      </c>
      <c r="F146" t="s">
        <v>10</v>
      </c>
      <c r="G146" s="3">
        <f t="shared" ca="1" si="2"/>
        <v>8375</v>
      </c>
    </row>
    <row r="147" spans="1:7" x14ac:dyDescent="0.3">
      <c r="A147">
        <v>145</v>
      </c>
      <c r="B147" t="s">
        <v>6</v>
      </c>
      <c r="C147" t="s">
        <v>24</v>
      </c>
      <c r="D147" t="s">
        <v>138</v>
      </c>
      <c r="E147" t="s">
        <v>139</v>
      </c>
      <c r="F147" t="s">
        <v>10</v>
      </c>
      <c r="G147" s="3">
        <f t="shared" ca="1" si="2"/>
        <v>7697</v>
      </c>
    </row>
    <row r="148" spans="1:7" x14ac:dyDescent="0.3">
      <c r="A148">
        <v>146</v>
      </c>
      <c r="B148" t="s">
        <v>6</v>
      </c>
      <c r="C148" t="s">
        <v>13</v>
      </c>
      <c r="D148" t="s">
        <v>140</v>
      </c>
      <c r="E148" t="s">
        <v>141</v>
      </c>
      <c r="F148" t="s">
        <v>19</v>
      </c>
      <c r="G148" s="3">
        <f t="shared" ca="1" si="2"/>
        <v>8438</v>
      </c>
    </row>
    <row r="149" spans="1:7" x14ac:dyDescent="0.3">
      <c r="A149">
        <v>147</v>
      </c>
      <c r="B149" t="s">
        <v>6</v>
      </c>
      <c r="C149" t="s">
        <v>24</v>
      </c>
      <c r="D149" t="s">
        <v>142</v>
      </c>
      <c r="E149" t="s">
        <v>126</v>
      </c>
      <c r="F149" t="s">
        <v>10</v>
      </c>
      <c r="G149" s="3">
        <f t="shared" ca="1" si="2"/>
        <v>7582</v>
      </c>
    </row>
    <row r="150" spans="1:7" x14ac:dyDescent="0.3">
      <c r="A150">
        <v>148</v>
      </c>
      <c r="B150" t="s">
        <v>6</v>
      </c>
      <c r="C150" t="s">
        <v>13</v>
      </c>
      <c r="D150" t="s">
        <v>80</v>
      </c>
      <c r="E150" t="s">
        <v>143</v>
      </c>
      <c r="F150" t="s">
        <v>10</v>
      </c>
      <c r="G150" s="3">
        <f t="shared" ca="1" si="2"/>
        <v>7727</v>
      </c>
    </row>
    <row r="151" spans="1:7" x14ac:dyDescent="0.3">
      <c r="A151">
        <v>149</v>
      </c>
      <c r="B151" t="s">
        <v>6</v>
      </c>
      <c r="C151" t="s">
        <v>13</v>
      </c>
      <c r="D151" t="s">
        <v>144</v>
      </c>
      <c r="E151" t="s">
        <v>145</v>
      </c>
      <c r="F151" t="s">
        <v>10</v>
      </c>
      <c r="G151" s="3">
        <f t="shared" ca="1" si="2"/>
        <v>11681</v>
      </c>
    </row>
    <row r="152" spans="1:7" x14ac:dyDescent="0.3">
      <c r="A152">
        <v>150</v>
      </c>
      <c r="B152" t="s">
        <v>6</v>
      </c>
      <c r="C152" t="s">
        <v>13</v>
      </c>
      <c r="D152" t="s">
        <v>146</v>
      </c>
      <c r="E152" t="s">
        <v>19</v>
      </c>
      <c r="F152" t="s">
        <v>10</v>
      </c>
      <c r="G152" s="3">
        <f t="shared" ca="1" si="2"/>
        <v>10165</v>
      </c>
    </row>
    <row r="153" spans="1:7" x14ac:dyDescent="0.3">
      <c r="A153">
        <v>151</v>
      </c>
      <c r="B153" t="s">
        <v>6</v>
      </c>
      <c r="C153" t="s">
        <v>7</v>
      </c>
      <c r="D153" t="s">
        <v>16</v>
      </c>
      <c r="E153" t="s">
        <v>147</v>
      </c>
      <c r="F153" t="s">
        <v>31</v>
      </c>
      <c r="G153" s="3">
        <f t="shared" ca="1" si="2"/>
        <v>8108</v>
      </c>
    </row>
    <row r="154" spans="1:7" x14ac:dyDescent="0.3">
      <c r="A154">
        <v>152</v>
      </c>
      <c r="B154" t="s">
        <v>6</v>
      </c>
      <c r="C154" t="s">
        <v>13</v>
      </c>
      <c r="D154" t="s">
        <v>65</v>
      </c>
      <c r="E154" t="s">
        <v>66</v>
      </c>
      <c r="F154" t="s">
        <v>19</v>
      </c>
      <c r="G154" s="3">
        <f t="shared" ca="1" si="2"/>
        <v>8624</v>
      </c>
    </row>
    <row r="155" spans="1:7" x14ac:dyDescent="0.3">
      <c r="A155">
        <v>153</v>
      </c>
      <c r="B155" t="s">
        <v>6</v>
      </c>
      <c r="C155" t="s">
        <v>13</v>
      </c>
      <c r="D155" t="s">
        <v>148</v>
      </c>
      <c r="E155" t="s">
        <v>149</v>
      </c>
      <c r="F155" t="s">
        <v>10</v>
      </c>
      <c r="G155" s="3">
        <f t="shared" ca="1" si="2"/>
        <v>9589</v>
      </c>
    </row>
    <row r="156" spans="1:7" x14ac:dyDescent="0.3">
      <c r="A156">
        <v>154</v>
      </c>
      <c r="B156" t="s">
        <v>6</v>
      </c>
      <c r="C156" t="s">
        <v>13</v>
      </c>
      <c r="D156" t="s">
        <v>119</v>
      </c>
      <c r="E156" t="s">
        <v>150</v>
      </c>
      <c r="F156" t="s">
        <v>10</v>
      </c>
      <c r="G156" s="3">
        <f t="shared" ca="1" si="2"/>
        <v>9316</v>
      </c>
    </row>
    <row r="157" spans="1:7" x14ac:dyDescent="0.3">
      <c r="A157">
        <v>155</v>
      </c>
      <c r="B157" t="s">
        <v>6</v>
      </c>
      <c r="C157" t="s">
        <v>7</v>
      </c>
      <c r="D157" t="s">
        <v>151</v>
      </c>
      <c r="E157" t="s">
        <v>152</v>
      </c>
      <c r="F157" t="s">
        <v>10</v>
      </c>
      <c r="G157" s="3">
        <f t="shared" ca="1" si="2"/>
        <v>9244</v>
      </c>
    </row>
    <row r="158" spans="1:7" x14ac:dyDescent="0.3">
      <c r="A158">
        <v>156</v>
      </c>
      <c r="B158" t="s">
        <v>6</v>
      </c>
      <c r="C158" t="s">
        <v>13</v>
      </c>
      <c r="D158" t="s">
        <v>140</v>
      </c>
      <c r="E158" t="s">
        <v>19</v>
      </c>
      <c r="F158" t="s">
        <v>10</v>
      </c>
      <c r="G158" s="3">
        <f t="shared" ca="1" si="2"/>
        <v>10478</v>
      </c>
    </row>
    <row r="159" spans="1:7" x14ac:dyDescent="0.3">
      <c r="A159">
        <v>157</v>
      </c>
      <c r="B159" t="s">
        <v>6</v>
      </c>
      <c r="C159" t="s">
        <v>7</v>
      </c>
      <c r="D159" t="s">
        <v>50</v>
      </c>
      <c r="E159" t="s">
        <v>153</v>
      </c>
      <c r="F159" t="s">
        <v>10</v>
      </c>
      <c r="G159" s="3">
        <f t="shared" ca="1" si="2"/>
        <v>7780</v>
      </c>
    </row>
    <row r="160" spans="1:7" x14ac:dyDescent="0.3">
      <c r="A160">
        <v>158</v>
      </c>
      <c r="B160" t="s">
        <v>6</v>
      </c>
      <c r="C160" t="s">
        <v>13</v>
      </c>
      <c r="D160" t="s">
        <v>154</v>
      </c>
      <c r="E160" t="s">
        <v>155</v>
      </c>
      <c r="F160" t="s">
        <v>10</v>
      </c>
      <c r="G160" s="3">
        <f t="shared" ca="1" si="2"/>
        <v>7779</v>
      </c>
    </row>
    <row r="161" spans="1:7" x14ac:dyDescent="0.3">
      <c r="A161">
        <v>159</v>
      </c>
      <c r="B161" t="s">
        <v>6</v>
      </c>
      <c r="C161" t="s">
        <v>13</v>
      </c>
      <c r="D161" t="s">
        <v>91</v>
      </c>
      <c r="E161" t="s">
        <v>156</v>
      </c>
      <c r="F161" t="s">
        <v>19</v>
      </c>
      <c r="G161" s="3">
        <f t="shared" ca="1" si="2"/>
        <v>8909</v>
      </c>
    </row>
    <row r="162" spans="1:7" x14ac:dyDescent="0.3">
      <c r="A162">
        <v>160</v>
      </c>
      <c r="B162" t="s">
        <v>6</v>
      </c>
      <c r="C162" t="s">
        <v>24</v>
      </c>
      <c r="D162" t="s">
        <v>157</v>
      </c>
      <c r="E162" t="s">
        <v>158</v>
      </c>
      <c r="F162" t="s">
        <v>159</v>
      </c>
      <c r="G162" s="3">
        <f t="shared" ca="1" si="2"/>
        <v>9960</v>
      </c>
    </row>
    <row r="163" spans="1:7" x14ac:dyDescent="0.3">
      <c r="A163">
        <v>161</v>
      </c>
      <c r="B163" t="s">
        <v>6</v>
      </c>
      <c r="C163" t="s">
        <v>7</v>
      </c>
      <c r="D163" t="s">
        <v>113</v>
      </c>
      <c r="E163" t="s">
        <v>19</v>
      </c>
      <c r="F163" t="s">
        <v>31</v>
      </c>
      <c r="G163" s="3">
        <f t="shared" ca="1" si="2"/>
        <v>10851</v>
      </c>
    </row>
    <row r="164" spans="1:7" x14ac:dyDescent="0.3">
      <c r="A164">
        <v>162</v>
      </c>
      <c r="B164" t="s">
        <v>6</v>
      </c>
      <c r="C164" t="s">
        <v>13</v>
      </c>
      <c r="D164" t="s">
        <v>160</v>
      </c>
      <c r="E164" t="s">
        <v>161</v>
      </c>
      <c r="F164" t="s">
        <v>10</v>
      </c>
      <c r="G164" s="3">
        <f t="shared" ca="1" si="2"/>
        <v>11227</v>
      </c>
    </row>
    <row r="165" spans="1:7" x14ac:dyDescent="0.3">
      <c r="A165">
        <v>163</v>
      </c>
      <c r="B165" t="s">
        <v>6</v>
      </c>
      <c r="C165" t="s">
        <v>13</v>
      </c>
      <c r="D165" t="s">
        <v>162</v>
      </c>
      <c r="E165" t="s">
        <v>163</v>
      </c>
      <c r="F165" t="s">
        <v>10</v>
      </c>
      <c r="G165" s="3">
        <f t="shared" ca="1" si="2"/>
        <v>9863</v>
      </c>
    </row>
    <row r="166" spans="1:7" x14ac:dyDescent="0.3">
      <c r="A166">
        <v>164</v>
      </c>
      <c r="B166" t="s">
        <v>6</v>
      </c>
      <c r="C166" t="s">
        <v>13</v>
      </c>
      <c r="D166" t="s">
        <v>100</v>
      </c>
      <c r="E166" t="s">
        <v>164</v>
      </c>
      <c r="F166" t="s">
        <v>10</v>
      </c>
      <c r="G166" s="3">
        <f t="shared" ca="1" si="2"/>
        <v>10045</v>
      </c>
    </row>
    <row r="167" spans="1:7" x14ac:dyDescent="0.3">
      <c r="A167">
        <v>165</v>
      </c>
      <c r="B167" t="s">
        <v>6</v>
      </c>
      <c r="C167" t="s">
        <v>7</v>
      </c>
      <c r="D167" t="s">
        <v>151</v>
      </c>
      <c r="E167" t="s">
        <v>152</v>
      </c>
      <c r="F167" t="s">
        <v>10</v>
      </c>
      <c r="G167" s="3">
        <f t="shared" ca="1" si="2"/>
        <v>9273</v>
      </c>
    </row>
    <row r="168" spans="1:7" x14ac:dyDescent="0.3">
      <c r="A168">
        <v>166</v>
      </c>
      <c r="B168" t="s">
        <v>6</v>
      </c>
      <c r="C168" t="s">
        <v>13</v>
      </c>
      <c r="D168" t="s">
        <v>140</v>
      </c>
      <c r="E168" t="s">
        <v>19</v>
      </c>
      <c r="F168" t="s">
        <v>10</v>
      </c>
      <c r="G168" s="3">
        <f t="shared" ca="1" si="2"/>
        <v>10052</v>
      </c>
    </row>
    <row r="169" spans="1:7" x14ac:dyDescent="0.3">
      <c r="A169">
        <v>167</v>
      </c>
      <c r="B169" t="s">
        <v>6</v>
      </c>
      <c r="C169" t="s">
        <v>7</v>
      </c>
      <c r="D169" t="s">
        <v>50</v>
      </c>
      <c r="E169" t="s">
        <v>153</v>
      </c>
      <c r="F169" t="s">
        <v>10</v>
      </c>
      <c r="G169" s="3">
        <f t="shared" ca="1" si="2"/>
        <v>9270</v>
      </c>
    </row>
    <row r="170" spans="1:7" x14ac:dyDescent="0.3">
      <c r="A170">
        <v>168</v>
      </c>
      <c r="B170" t="s">
        <v>6</v>
      </c>
      <c r="C170" t="s">
        <v>13</v>
      </c>
      <c r="D170" t="s">
        <v>154</v>
      </c>
      <c r="E170" t="s">
        <v>155</v>
      </c>
      <c r="F170" t="s">
        <v>10</v>
      </c>
      <c r="G170" s="3">
        <f t="shared" ca="1" si="2"/>
        <v>9288</v>
      </c>
    </row>
    <row r="171" spans="1:7" x14ac:dyDescent="0.3">
      <c r="A171">
        <v>169</v>
      </c>
      <c r="B171" t="s">
        <v>6</v>
      </c>
      <c r="C171" t="s">
        <v>13</v>
      </c>
      <c r="D171" t="s">
        <v>91</v>
      </c>
      <c r="E171" t="s">
        <v>156</v>
      </c>
      <c r="F171" t="s">
        <v>19</v>
      </c>
      <c r="G171" s="3">
        <f t="shared" ca="1" si="2"/>
        <v>9732</v>
      </c>
    </row>
    <row r="172" spans="1:7" x14ac:dyDescent="0.3">
      <c r="A172">
        <v>170</v>
      </c>
      <c r="B172" t="s">
        <v>6</v>
      </c>
      <c r="C172" t="s">
        <v>24</v>
      </c>
      <c r="D172" t="s">
        <v>157</v>
      </c>
      <c r="E172" t="s">
        <v>158</v>
      </c>
      <c r="F172" t="s">
        <v>159</v>
      </c>
      <c r="G172" s="3">
        <f t="shared" ca="1" si="2"/>
        <v>8753</v>
      </c>
    </row>
    <row r="173" spans="1:7" x14ac:dyDescent="0.3">
      <c r="A173">
        <v>171</v>
      </c>
      <c r="B173" t="s">
        <v>6</v>
      </c>
      <c r="C173" t="s">
        <v>7</v>
      </c>
      <c r="D173" t="s">
        <v>113</v>
      </c>
      <c r="E173" t="s">
        <v>19</v>
      </c>
      <c r="F173" t="s">
        <v>31</v>
      </c>
      <c r="G173" s="3">
        <f t="shared" ca="1" si="2"/>
        <v>8037</v>
      </c>
    </row>
    <row r="174" spans="1:7" x14ac:dyDescent="0.3">
      <c r="A174">
        <v>172</v>
      </c>
      <c r="B174" t="s">
        <v>6</v>
      </c>
      <c r="C174" t="s">
        <v>13</v>
      </c>
      <c r="D174" t="s">
        <v>160</v>
      </c>
      <c r="E174" t="s">
        <v>161</v>
      </c>
      <c r="F174" t="s">
        <v>10</v>
      </c>
      <c r="G174" s="3">
        <f t="shared" ca="1" si="2"/>
        <v>11416</v>
      </c>
    </row>
    <row r="175" spans="1:7" x14ac:dyDescent="0.3">
      <c r="A175">
        <v>173</v>
      </c>
      <c r="B175" t="s">
        <v>6</v>
      </c>
      <c r="C175" t="s">
        <v>13</v>
      </c>
      <c r="D175" t="s">
        <v>162</v>
      </c>
      <c r="E175" t="s">
        <v>163</v>
      </c>
      <c r="F175" t="s">
        <v>10</v>
      </c>
      <c r="G175" s="3">
        <f t="shared" ca="1" si="2"/>
        <v>11043</v>
      </c>
    </row>
    <row r="176" spans="1:7" x14ac:dyDescent="0.3">
      <c r="A176">
        <v>174</v>
      </c>
      <c r="B176" t="s">
        <v>6</v>
      </c>
      <c r="C176" t="s">
        <v>13</v>
      </c>
      <c r="D176" t="s">
        <v>100</v>
      </c>
      <c r="E176" t="s">
        <v>164</v>
      </c>
      <c r="F176" t="s">
        <v>10</v>
      </c>
      <c r="G176" s="3">
        <f t="shared" ca="1" si="2"/>
        <v>10743</v>
      </c>
    </row>
    <row r="177" spans="1:7" x14ac:dyDescent="0.3">
      <c r="A177">
        <v>175</v>
      </c>
      <c r="B177" t="s">
        <v>165</v>
      </c>
      <c r="C177" t="s">
        <v>7</v>
      </c>
      <c r="D177" t="s">
        <v>166</v>
      </c>
      <c r="E177" t="s">
        <v>48</v>
      </c>
      <c r="F177" t="s">
        <v>10</v>
      </c>
      <c r="G177" s="3">
        <f t="shared" ca="1" si="2"/>
        <v>8322</v>
      </c>
    </row>
    <row r="178" spans="1:7" x14ac:dyDescent="0.3">
      <c r="A178">
        <v>176</v>
      </c>
      <c r="B178" t="s">
        <v>165</v>
      </c>
      <c r="C178" t="s">
        <v>24</v>
      </c>
      <c r="D178" t="s">
        <v>167</v>
      </c>
      <c r="E178" t="s">
        <v>168</v>
      </c>
      <c r="F178" t="s">
        <v>10</v>
      </c>
      <c r="G178" s="3">
        <f t="shared" ca="1" si="2"/>
        <v>8702</v>
      </c>
    </row>
    <row r="179" spans="1:7" x14ac:dyDescent="0.3">
      <c r="A179">
        <v>177</v>
      </c>
      <c r="B179" t="s">
        <v>165</v>
      </c>
      <c r="C179" t="s">
        <v>13</v>
      </c>
      <c r="D179" t="s">
        <v>169</v>
      </c>
      <c r="E179" t="s">
        <v>164</v>
      </c>
      <c r="F179" t="s">
        <v>10</v>
      </c>
      <c r="G179" s="3">
        <f t="shared" ca="1" si="2"/>
        <v>11084</v>
      </c>
    </row>
    <row r="180" spans="1:7" x14ac:dyDescent="0.3">
      <c r="A180">
        <v>178</v>
      </c>
      <c r="B180" t="s">
        <v>165</v>
      </c>
      <c r="C180" t="s">
        <v>24</v>
      </c>
      <c r="D180" t="s">
        <v>170</v>
      </c>
      <c r="E180" t="s">
        <v>171</v>
      </c>
      <c r="F180" t="s">
        <v>10</v>
      </c>
      <c r="G180" s="3">
        <f t="shared" ca="1" si="2"/>
        <v>7112</v>
      </c>
    </row>
    <row r="181" spans="1:7" x14ac:dyDescent="0.3">
      <c r="A181">
        <v>179</v>
      </c>
      <c r="B181" t="s">
        <v>165</v>
      </c>
      <c r="C181" t="s">
        <v>13</v>
      </c>
      <c r="D181" t="s">
        <v>172</v>
      </c>
      <c r="E181" t="s">
        <v>173</v>
      </c>
      <c r="F181" t="s">
        <v>19</v>
      </c>
      <c r="G181" s="3">
        <f t="shared" ca="1" si="2"/>
        <v>9620</v>
      </c>
    </row>
    <row r="182" spans="1:7" x14ac:dyDescent="0.3">
      <c r="A182">
        <v>180</v>
      </c>
      <c r="B182" t="s">
        <v>165</v>
      </c>
      <c r="C182" t="s">
        <v>7</v>
      </c>
      <c r="D182" t="s">
        <v>169</v>
      </c>
      <c r="E182" t="s">
        <v>164</v>
      </c>
      <c r="F182" t="s">
        <v>10</v>
      </c>
      <c r="G182" s="3">
        <f t="shared" ca="1" si="2"/>
        <v>8400</v>
      </c>
    </row>
    <row r="183" spans="1:7" x14ac:dyDescent="0.3">
      <c r="A183">
        <v>181</v>
      </c>
      <c r="B183" t="s">
        <v>165</v>
      </c>
      <c r="C183" t="s">
        <v>13</v>
      </c>
      <c r="D183" t="s">
        <v>174</v>
      </c>
      <c r="E183" t="s">
        <v>175</v>
      </c>
      <c r="F183" t="s">
        <v>10</v>
      </c>
      <c r="G183" s="3">
        <f t="shared" ca="1" si="2"/>
        <v>8452</v>
      </c>
    </row>
    <row r="184" spans="1:7" x14ac:dyDescent="0.3">
      <c r="A184">
        <v>182</v>
      </c>
      <c r="B184" t="s">
        <v>165</v>
      </c>
      <c r="C184" t="s">
        <v>13</v>
      </c>
      <c r="D184" t="s">
        <v>97</v>
      </c>
      <c r="E184" t="s">
        <v>153</v>
      </c>
      <c r="F184" t="s">
        <v>19</v>
      </c>
      <c r="G184" s="3">
        <f t="shared" ca="1" si="2"/>
        <v>7248</v>
      </c>
    </row>
    <row r="185" spans="1:7" x14ac:dyDescent="0.3">
      <c r="A185">
        <v>183</v>
      </c>
      <c r="B185" t="s">
        <v>165</v>
      </c>
      <c r="C185" t="s">
        <v>13</v>
      </c>
      <c r="D185" t="s">
        <v>140</v>
      </c>
      <c r="E185" t="s">
        <v>120</v>
      </c>
      <c r="F185" t="s">
        <v>10</v>
      </c>
      <c r="G185" s="3">
        <f t="shared" ca="1" si="2"/>
        <v>6897</v>
      </c>
    </row>
    <row r="186" spans="1:7" x14ac:dyDescent="0.3">
      <c r="A186">
        <v>184</v>
      </c>
      <c r="B186" t="s">
        <v>165</v>
      </c>
      <c r="C186" t="s">
        <v>7</v>
      </c>
      <c r="D186" t="s">
        <v>166</v>
      </c>
      <c r="E186" t="s">
        <v>48</v>
      </c>
      <c r="F186" t="s">
        <v>10</v>
      </c>
      <c r="G186" s="3">
        <f t="shared" ca="1" si="2"/>
        <v>7969</v>
      </c>
    </row>
    <row r="187" spans="1:7" x14ac:dyDescent="0.3">
      <c r="A187">
        <v>185</v>
      </c>
      <c r="B187" t="s">
        <v>165</v>
      </c>
      <c r="C187" t="s">
        <v>24</v>
      </c>
      <c r="D187" t="s">
        <v>167</v>
      </c>
      <c r="E187" t="s">
        <v>168</v>
      </c>
      <c r="F187" t="s">
        <v>10</v>
      </c>
      <c r="G187" s="3">
        <f t="shared" ca="1" si="2"/>
        <v>10513</v>
      </c>
    </row>
    <row r="188" spans="1:7" x14ac:dyDescent="0.3">
      <c r="A188">
        <v>186</v>
      </c>
      <c r="B188" t="s">
        <v>165</v>
      </c>
      <c r="C188" t="s">
        <v>13</v>
      </c>
      <c r="D188" t="s">
        <v>169</v>
      </c>
      <c r="E188" t="s">
        <v>164</v>
      </c>
      <c r="F188" t="s">
        <v>10</v>
      </c>
      <c r="G188" s="3">
        <f t="shared" ca="1" si="2"/>
        <v>7744</v>
      </c>
    </row>
    <row r="189" spans="1:7" x14ac:dyDescent="0.3">
      <c r="A189">
        <v>187</v>
      </c>
      <c r="B189" t="s">
        <v>165</v>
      </c>
      <c r="C189" t="s">
        <v>24</v>
      </c>
      <c r="D189" t="s">
        <v>170</v>
      </c>
      <c r="E189" t="s">
        <v>171</v>
      </c>
      <c r="F189" t="s">
        <v>10</v>
      </c>
      <c r="G189" s="3">
        <f t="shared" ca="1" si="2"/>
        <v>8192</v>
      </c>
    </row>
    <row r="190" spans="1:7" x14ac:dyDescent="0.3">
      <c r="A190">
        <v>188</v>
      </c>
      <c r="B190" t="s">
        <v>165</v>
      </c>
      <c r="C190" t="s">
        <v>13</v>
      </c>
      <c r="D190" t="s">
        <v>172</v>
      </c>
      <c r="E190" t="s">
        <v>173</v>
      </c>
      <c r="F190" t="s">
        <v>19</v>
      </c>
      <c r="G190" s="3">
        <f t="shared" ca="1" si="2"/>
        <v>10987</v>
      </c>
    </row>
    <row r="191" spans="1:7" x14ac:dyDescent="0.3">
      <c r="A191">
        <v>189</v>
      </c>
      <c r="B191" t="s">
        <v>165</v>
      </c>
      <c r="C191" t="s">
        <v>7</v>
      </c>
      <c r="D191" t="s">
        <v>169</v>
      </c>
      <c r="E191" t="s">
        <v>164</v>
      </c>
      <c r="F191" t="s">
        <v>10</v>
      </c>
      <c r="G191" s="3">
        <f t="shared" ca="1" si="2"/>
        <v>6915</v>
      </c>
    </row>
    <row r="192" spans="1:7" x14ac:dyDescent="0.3">
      <c r="A192">
        <v>190</v>
      </c>
      <c r="B192" t="s">
        <v>165</v>
      </c>
      <c r="C192" t="s">
        <v>13</v>
      </c>
      <c r="D192" t="s">
        <v>174</v>
      </c>
      <c r="E192" t="s">
        <v>175</v>
      </c>
      <c r="F192" t="s">
        <v>10</v>
      </c>
      <c r="G192" s="3">
        <f t="shared" ca="1" si="2"/>
        <v>6787</v>
      </c>
    </row>
    <row r="193" spans="1:7" x14ac:dyDescent="0.3">
      <c r="A193">
        <v>191</v>
      </c>
      <c r="B193" t="s">
        <v>165</v>
      </c>
      <c r="C193" t="s">
        <v>19</v>
      </c>
      <c r="D193" t="s">
        <v>97</v>
      </c>
      <c r="E193" t="s">
        <v>153</v>
      </c>
      <c r="F193" t="s">
        <v>19</v>
      </c>
      <c r="G193" s="3">
        <f t="shared" ca="1" si="2"/>
        <v>8464</v>
      </c>
    </row>
    <row r="194" spans="1:7" x14ac:dyDescent="0.3">
      <c r="A194">
        <v>192</v>
      </c>
      <c r="B194" t="s">
        <v>165</v>
      </c>
      <c r="C194" t="s">
        <v>13</v>
      </c>
      <c r="D194" t="s">
        <v>140</v>
      </c>
      <c r="E194" t="s">
        <v>120</v>
      </c>
      <c r="F194" t="s">
        <v>10</v>
      </c>
      <c r="G194" s="3">
        <f t="shared" ref="G194:G257" ca="1" si="3">RANDBETWEEN(6500,12000)</f>
        <v>7042</v>
      </c>
    </row>
    <row r="195" spans="1:7" x14ac:dyDescent="0.3">
      <c r="A195">
        <v>193</v>
      </c>
      <c r="B195" t="s">
        <v>165</v>
      </c>
      <c r="C195" t="s">
        <v>7</v>
      </c>
      <c r="D195" t="s">
        <v>166</v>
      </c>
      <c r="E195" t="s">
        <v>48</v>
      </c>
      <c r="F195" t="s">
        <v>10</v>
      </c>
      <c r="G195" s="3">
        <f t="shared" ca="1" si="3"/>
        <v>11689</v>
      </c>
    </row>
    <row r="196" spans="1:7" x14ac:dyDescent="0.3">
      <c r="A196">
        <v>194</v>
      </c>
      <c r="B196" t="s">
        <v>165</v>
      </c>
      <c r="C196" t="s">
        <v>24</v>
      </c>
      <c r="D196" t="s">
        <v>167</v>
      </c>
      <c r="E196" t="s">
        <v>168</v>
      </c>
      <c r="F196" t="s">
        <v>10</v>
      </c>
      <c r="G196" s="3">
        <f t="shared" ca="1" si="3"/>
        <v>8308</v>
      </c>
    </row>
    <row r="197" spans="1:7" x14ac:dyDescent="0.3">
      <c r="A197">
        <v>195</v>
      </c>
      <c r="B197" t="s">
        <v>165</v>
      </c>
      <c r="C197" t="s">
        <v>13</v>
      </c>
      <c r="D197" t="s">
        <v>169</v>
      </c>
      <c r="E197" t="s">
        <v>164</v>
      </c>
      <c r="F197" t="s">
        <v>10</v>
      </c>
      <c r="G197" s="3">
        <f t="shared" ca="1" si="3"/>
        <v>9007</v>
      </c>
    </row>
    <row r="198" spans="1:7" x14ac:dyDescent="0.3">
      <c r="A198">
        <v>196</v>
      </c>
      <c r="B198" t="s">
        <v>165</v>
      </c>
      <c r="C198" t="s">
        <v>24</v>
      </c>
      <c r="D198" t="s">
        <v>170</v>
      </c>
      <c r="E198" t="s">
        <v>171</v>
      </c>
      <c r="F198" t="s">
        <v>10</v>
      </c>
      <c r="G198" s="3">
        <f t="shared" ca="1" si="3"/>
        <v>10141</v>
      </c>
    </row>
    <row r="199" spans="1:7" x14ac:dyDescent="0.3">
      <c r="A199">
        <v>197</v>
      </c>
      <c r="B199" t="s">
        <v>165</v>
      </c>
      <c r="C199" t="s">
        <v>13</v>
      </c>
      <c r="D199" t="s">
        <v>172</v>
      </c>
      <c r="E199" t="s">
        <v>173</v>
      </c>
      <c r="F199" t="s">
        <v>19</v>
      </c>
      <c r="G199" s="3">
        <f t="shared" ca="1" si="3"/>
        <v>8614</v>
      </c>
    </row>
    <row r="200" spans="1:7" x14ac:dyDescent="0.3">
      <c r="A200">
        <v>198</v>
      </c>
      <c r="B200" t="s">
        <v>165</v>
      </c>
      <c r="C200" t="s">
        <v>7</v>
      </c>
      <c r="D200" t="s">
        <v>169</v>
      </c>
      <c r="E200" t="s">
        <v>164</v>
      </c>
      <c r="F200" t="s">
        <v>10</v>
      </c>
      <c r="G200" s="3">
        <f t="shared" ca="1" si="3"/>
        <v>6745</v>
      </c>
    </row>
    <row r="201" spans="1:7" x14ac:dyDescent="0.3">
      <c r="A201">
        <v>199</v>
      </c>
      <c r="B201" t="s">
        <v>165</v>
      </c>
      <c r="C201" t="s">
        <v>13</v>
      </c>
      <c r="D201" t="s">
        <v>174</v>
      </c>
      <c r="E201" t="s">
        <v>175</v>
      </c>
      <c r="F201" t="s">
        <v>10</v>
      </c>
      <c r="G201" s="3">
        <f t="shared" ca="1" si="3"/>
        <v>10825</v>
      </c>
    </row>
    <row r="202" spans="1:7" x14ac:dyDescent="0.3">
      <c r="A202">
        <v>200</v>
      </c>
      <c r="B202" t="s">
        <v>165</v>
      </c>
      <c r="C202" t="s">
        <v>13</v>
      </c>
      <c r="D202" t="s">
        <v>97</v>
      </c>
      <c r="E202" t="s">
        <v>153</v>
      </c>
      <c r="F202" t="s">
        <v>19</v>
      </c>
      <c r="G202" s="3">
        <f t="shared" ca="1" si="3"/>
        <v>6791</v>
      </c>
    </row>
    <row r="203" spans="1:7" x14ac:dyDescent="0.3">
      <c r="A203">
        <v>201</v>
      </c>
      <c r="B203" t="s">
        <v>165</v>
      </c>
      <c r="C203" t="s">
        <v>13</v>
      </c>
      <c r="D203" t="s">
        <v>140</v>
      </c>
      <c r="E203" t="s">
        <v>120</v>
      </c>
      <c r="F203" t="s">
        <v>10</v>
      </c>
      <c r="G203" s="3">
        <f t="shared" ca="1" si="3"/>
        <v>9556</v>
      </c>
    </row>
    <row r="204" spans="1:7" x14ac:dyDescent="0.3">
      <c r="A204">
        <v>202</v>
      </c>
      <c r="B204" t="s">
        <v>165</v>
      </c>
      <c r="C204" t="s">
        <v>7</v>
      </c>
      <c r="D204" t="s">
        <v>176</v>
      </c>
      <c r="E204" t="s">
        <v>19</v>
      </c>
      <c r="F204" t="s">
        <v>10</v>
      </c>
      <c r="G204" s="3">
        <f t="shared" ca="1" si="3"/>
        <v>6874</v>
      </c>
    </row>
    <row r="205" spans="1:7" x14ac:dyDescent="0.3">
      <c r="A205">
        <v>203</v>
      </c>
      <c r="B205" t="s">
        <v>165</v>
      </c>
      <c r="C205" t="s">
        <v>24</v>
      </c>
      <c r="D205" t="s">
        <v>177</v>
      </c>
      <c r="E205" t="s">
        <v>178</v>
      </c>
      <c r="F205" t="s">
        <v>10</v>
      </c>
      <c r="G205" s="3">
        <f t="shared" ca="1" si="3"/>
        <v>7264</v>
      </c>
    </row>
    <row r="206" spans="1:7" x14ac:dyDescent="0.3">
      <c r="A206">
        <v>204</v>
      </c>
      <c r="B206" t="s">
        <v>165</v>
      </c>
      <c r="C206" t="s">
        <v>7</v>
      </c>
      <c r="D206" t="s">
        <v>179</v>
      </c>
      <c r="E206" t="s">
        <v>19</v>
      </c>
      <c r="F206" t="s">
        <v>19</v>
      </c>
      <c r="G206" s="3">
        <f t="shared" ca="1" si="3"/>
        <v>10688</v>
      </c>
    </row>
    <row r="207" spans="1:7" x14ac:dyDescent="0.3">
      <c r="A207">
        <v>205</v>
      </c>
      <c r="B207" t="s">
        <v>165</v>
      </c>
      <c r="C207" t="s">
        <v>7</v>
      </c>
      <c r="D207" t="s">
        <v>8</v>
      </c>
      <c r="E207" t="s">
        <v>164</v>
      </c>
      <c r="F207" t="s">
        <v>10</v>
      </c>
      <c r="G207" s="3">
        <f t="shared" ca="1" si="3"/>
        <v>8827</v>
      </c>
    </row>
    <row r="208" spans="1:7" x14ac:dyDescent="0.3">
      <c r="A208">
        <v>206</v>
      </c>
      <c r="B208" t="s">
        <v>165</v>
      </c>
      <c r="C208" t="s">
        <v>7</v>
      </c>
      <c r="D208" t="s">
        <v>43</v>
      </c>
      <c r="E208" t="s">
        <v>106</v>
      </c>
      <c r="F208" t="s">
        <v>10</v>
      </c>
      <c r="G208" s="3">
        <f t="shared" ca="1" si="3"/>
        <v>11948</v>
      </c>
    </row>
    <row r="209" spans="1:7" x14ac:dyDescent="0.3">
      <c r="A209">
        <v>207</v>
      </c>
      <c r="B209" t="s">
        <v>165</v>
      </c>
      <c r="C209" t="s">
        <v>7</v>
      </c>
      <c r="D209" t="s">
        <v>119</v>
      </c>
      <c r="E209" t="s">
        <v>153</v>
      </c>
      <c r="F209" t="s">
        <v>10</v>
      </c>
      <c r="G209" s="3">
        <f t="shared" ca="1" si="3"/>
        <v>8898</v>
      </c>
    </row>
    <row r="210" spans="1:7" x14ac:dyDescent="0.3">
      <c r="A210">
        <v>208</v>
      </c>
      <c r="B210" t="s">
        <v>165</v>
      </c>
      <c r="C210" t="s">
        <v>24</v>
      </c>
      <c r="D210" t="s">
        <v>97</v>
      </c>
      <c r="E210" t="s">
        <v>180</v>
      </c>
      <c r="F210" t="s">
        <v>10</v>
      </c>
      <c r="G210" s="3">
        <f t="shared" ca="1" si="3"/>
        <v>11539</v>
      </c>
    </row>
    <row r="211" spans="1:7" x14ac:dyDescent="0.3">
      <c r="A211">
        <v>209</v>
      </c>
      <c r="B211" t="s">
        <v>165</v>
      </c>
      <c r="C211" t="s">
        <v>13</v>
      </c>
      <c r="D211" t="s">
        <v>181</v>
      </c>
      <c r="E211" t="s">
        <v>182</v>
      </c>
      <c r="F211" t="s">
        <v>10</v>
      </c>
      <c r="G211" s="3">
        <f t="shared" ca="1" si="3"/>
        <v>6941</v>
      </c>
    </row>
    <row r="212" spans="1:7" x14ac:dyDescent="0.3">
      <c r="A212">
        <v>210</v>
      </c>
      <c r="B212" t="s">
        <v>165</v>
      </c>
      <c r="C212" t="s">
        <v>7</v>
      </c>
      <c r="D212" t="s">
        <v>76</v>
      </c>
      <c r="E212" t="s">
        <v>183</v>
      </c>
      <c r="F212" t="s">
        <v>10</v>
      </c>
      <c r="G212" s="3">
        <f t="shared" ca="1" si="3"/>
        <v>8954</v>
      </c>
    </row>
    <row r="213" spans="1:7" x14ac:dyDescent="0.3">
      <c r="A213">
        <v>211</v>
      </c>
      <c r="B213" t="s">
        <v>165</v>
      </c>
      <c r="C213" t="s">
        <v>7</v>
      </c>
      <c r="D213" t="s">
        <v>22</v>
      </c>
      <c r="E213" t="s">
        <v>153</v>
      </c>
      <c r="F213" t="s">
        <v>10</v>
      </c>
      <c r="G213" s="3">
        <f t="shared" ca="1" si="3"/>
        <v>9663</v>
      </c>
    </row>
    <row r="214" spans="1:7" x14ac:dyDescent="0.3">
      <c r="A214">
        <v>212</v>
      </c>
      <c r="B214" t="s">
        <v>165</v>
      </c>
      <c r="C214" t="s">
        <v>7</v>
      </c>
      <c r="D214" t="s">
        <v>22</v>
      </c>
      <c r="E214" t="s">
        <v>183</v>
      </c>
      <c r="F214" t="s">
        <v>10</v>
      </c>
      <c r="G214" s="3">
        <f t="shared" ca="1" si="3"/>
        <v>11670</v>
      </c>
    </row>
    <row r="215" spans="1:7" x14ac:dyDescent="0.3">
      <c r="A215">
        <v>213</v>
      </c>
      <c r="B215" t="s">
        <v>165</v>
      </c>
      <c r="C215" t="s">
        <v>7</v>
      </c>
      <c r="D215" t="s">
        <v>19</v>
      </c>
      <c r="E215" t="s">
        <v>184</v>
      </c>
      <c r="F215" t="s">
        <v>104</v>
      </c>
      <c r="G215" s="3">
        <f t="shared" ca="1" si="3"/>
        <v>9173</v>
      </c>
    </row>
    <row r="216" spans="1:7" x14ac:dyDescent="0.3">
      <c r="A216">
        <v>214</v>
      </c>
      <c r="B216" t="s">
        <v>165</v>
      </c>
      <c r="C216" t="s">
        <v>7</v>
      </c>
      <c r="D216" t="s">
        <v>185</v>
      </c>
      <c r="E216" t="s">
        <v>186</v>
      </c>
      <c r="F216" t="s">
        <v>19</v>
      </c>
      <c r="G216" s="3">
        <f t="shared" ca="1" si="3"/>
        <v>6852</v>
      </c>
    </row>
    <row r="217" spans="1:7" x14ac:dyDescent="0.3">
      <c r="A217">
        <v>215</v>
      </c>
      <c r="B217" t="s">
        <v>165</v>
      </c>
      <c r="C217" t="s">
        <v>7</v>
      </c>
      <c r="D217" t="s">
        <v>70</v>
      </c>
      <c r="E217" t="s">
        <v>187</v>
      </c>
      <c r="F217" t="s">
        <v>10</v>
      </c>
      <c r="G217" s="3">
        <f t="shared" ca="1" si="3"/>
        <v>8512</v>
      </c>
    </row>
    <row r="218" spans="1:7" x14ac:dyDescent="0.3">
      <c r="A218">
        <v>216</v>
      </c>
      <c r="B218" t="s">
        <v>165</v>
      </c>
      <c r="C218" t="s">
        <v>7</v>
      </c>
      <c r="D218" t="s">
        <v>188</v>
      </c>
      <c r="E218" t="s">
        <v>84</v>
      </c>
      <c r="F218" t="s">
        <v>10</v>
      </c>
      <c r="G218" s="3">
        <f t="shared" ca="1" si="3"/>
        <v>9873</v>
      </c>
    </row>
    <row r="219" spans="1:7" x14ac:dyDescent="0.3">
      <c r="A219">
        <v>217</v>
      </c>
      <c r="B219" t="s">
        <v>165</v>
      </c>
      <c r="C219" t="s">
        <v>13</v>
      </c>
      <c r="D219" t="s">
        <v>137</v>
      </c>
      <c r="E219" t="s">
        <v>189</v>
      </c>
      <c r="F219" t="s">
        <v>10</v>
      </c>
      <c r="G219" s="3">
        <f t="shared" ca="1" si="3"/>
        <v>7284</v>
      </c>
    </row>
    <row r="220" spans="1:7" x14ac:dyDescent="0.3">
      <c r="A220">
        <v>218</v>
      </c>
      <c r="B220" t="s">
        <v>165</v>
      </c>
      <c r="C220" t="s">
        <v>13</v>
      </c>
      <c r="D220" t="s">
        <v>190</v>
      </c>
      <c r="E220" t="s">
        <v>19</v>
      </c>
      <c r="F220" t="s">
        <v>19</v>
      </c>
      <c r="G220" s="3">
        <f t="shared" ca="1" si="3"/>
        <v>7664</v>
      </c>
    </row>
    <row r="221" spans="1:7" x14ac:dyDescent="0.3">
      <c r="A221">
        <v>219</v>
      </c>
      <c r="B221" t="s">
        <v>165</v>
      </c>
      <c r="C221" t="s">
        <v>7</v>
      </c>
      <c r="D221" t="s">
        <v>179</v>
      </c>
      <c r="E221" t="s">
        <v>191</v>
      </c>
      <c r="F221" t="s">
        <v>10</v>
      </c>
      <c r="G221" s="3">
        <f t="shared" ca="1" si="3"/>
        <v>10109</v>
      </c>
    </row>
    <row r="222" spans="1:7" x14ac:dyDescent="0.3">
      <c r="A222">
        <v>220</v>
      </c>
      <c r="B222" t="s">
        <v>165</v>
      </c>
      <c r="C222" t="s">
        <v>7</v>
      </c>
      <c r="D222" t="s">
        <v>192</v>
      </c>
      <c r="E222" t="s">
        <v>183</v>
      </c>
      <c r="F222" t="s">
        <v>10</v>
      </c>
      <c r="G222" s="3">
        <f t="shared" ca="1" si="3"/>
        <v>6699</v>
      </c>
    </row>
    <row r="223" spans="1:7" x14ac:dyDescent="0.3">
      <c r="A223">
        <v>221</v>
      </c>
      <c r="B223" t="s">
        <v>165</v>
      </c>
      <c r="C223" t="s">
        <v>24</v>
      </c>
      <c r="D223" t="s">
        <v>35</v>
      </c>
      <c r="E223" t="s">
        <v>19</v>
      </c>
      <c r="F223" t="s">
        <v>10</v>
      </c>
      <c r="G223" s="3">
        <f t="shared" ca="1" si="3"/>
        <v>11203</v>
      </c>
    </row>
    <row r="224" spans="1:7" x14ac:dyDescent="0.3">
      <c r="A224">
        <v>222</v>
      </c>
      <c r="B224" t="s">
        <v>165</v>
      </c>
      <c r="C224" t="s">
        <v>7</v>
      </c>
      <c r="D224" t="s">
        <v>193</v>
      </c>
      <c r="E224" t="s">
        <v>194</v>
      </c>
      <c r="F224" t="s">
        <v>10</v>
      </c>
      <c r="G224" s="3">
        <f t="shared" ca="1" si="3"/>
        <v>10440</v>
      </c>
    </row>
    <row r="225" spans="1:7" x14ac:dyDescent="0.3">
      <c r="A225">
        <v>223</v>
      </c>
      <c r="B225" t="s">
        <v>165</v>
      </c>
      <c r="C225" t="s">
        <v>13</v>
      </c>
      <c r="D225" t="s">
        <v>83</v>
      </c>
      <c r="E225" t="s">
        <v>19</v>
      </c>
      <c r="F225" t="s">
        <v>10</v>
      </c>
      <c r="G225" s="3">
        <f t="shared" ca="1" si="3"/>
        <v>7926</v>
      </c>
    </row>
    <row r="226" spans="1:7" x14ac:dyDescent="0.3">
      <c r="A226">
        <v>224</v>
      </c>
      <c r="B226" t="s">
        <v>165</v>
      </c>
      <c r="C226" t="s">
        <v>13</v>
      </c>
      <c r="D226" t="s">
        <v>169</v>
      </c>
      <c r="E226" t="s">
        <v>195</v>
      </c>
      <c r="F226" t="s">
        <v>10</v>
      </c>
      <c r="G226" s="3">
        <f t="shared" ca="1" si="3"/>
        <v>8875</v>
      </c>
    </row>
    <row r="227" spans="1:7" x14ac:dyDescent="0.3">
      <c r="A227">
        <v>225</v>
      </c>
      <c r="B227" t="s">
        <v>165</v>
      </c>
      <c r="C227" t="s">
        <v>24</v>
      </c>
      <c r="D227" t="s">
        <v>196</v>
      </c>
      <c r="E227" t="s">
        <v>153</v>
      </c>
      <c r="F227" t="s">
        <v>10</v>
      </c>
      <c r="G227" s="3">
        <f t="shared" ca="1" si="3"/>
        <v>11872</v>
      </c>
    </row>
    <row r="228" spans="1:7" x14ac:dyDescent="0.3">
      <c r="A228">
        <v>226</v>
      </c>
      <c r="B228" t="s">
        <v>165</v>
      </c>
      <c r="C228" t="s">
        <v>24</v>
      </c>
      <c r="D228" t="s">
        <v>16</v>
      </c>
      <c r="E228" t="s">
        <v>197</v>
      </c>
      <c r="F228" t="s">
        <v>10</v>
      </c>
      <c r="G228" s="3">
        <f t="shared" ca="1" si="3"/>
        <v>9917</v>
      </c>
    </row>
    <row r="229" spans="1:7" x14ac:dyDescent="0.3">
      <c r="A229">
        <v>227</v>
      </c>
      <c r="B229" t="s">
        <v>165</v>
      </c>
      <c r="C229" t="s">
        <v>13</v>
      </c>
      <c r="D229" t="s">
        <v>169</v>
      </c>
      <c r="E229" t="s">
        <v>164</v>
      </c>
      <c r="F229" t="s">
        <v>10</v>
      </c>
      <c r="G229" s="3">
        <f t="shared" ca="1" si="3"/>
        <v>10653</v>
      </c>
    </row>
    <row r="230" spans="1:7" x14ac:dyDescent="0.3">
      <c r="A230">
        <v>228</v>
      </c>
      <c r="B230" t="s">
        <v>165</v>
      </c>
      <c r="C230" t="s">
        <v>13</v>
      </c>
      <c r="D230" t="s">
        <v>198</v>
      </c>
      <c r="E230" t="s">
        <v>199</v>
      </c>
      <c r="F230" t="s">
        <v>10</v>
      </c>
      <c r="G230" s="3">
        <f t="shared" ca="1" si="3"/>
        <v>7670</v>
      </c>
    </row>
    <row r="231" spans="1:7" x14ac:dyDescent="0.3">
      <c r="A231">
        <v>229</v>
      </c>
      <c r="B231" t="s">
        <v>165</v>
      </c>
      <c r="C231" t="s">
        <v>7</v>
      </c>
      <c r="D231" t="s">
        <v>200</v>
      </c>
      <c r="E231" t="s">
        <v>126</v>
      </c>
      <c r="F231" t="s">
        <v>10</v>
      </c>
      <c r="G231" s="3">
        <f t="shared" ca="1" si="3"/>
        <v>10712</v>
      </c>
    </row>
    <row r="232" spans="1:7" x14ac:dyDescent="0.3">
      <c r="A232">
        <v>230</v>
      </c>
      <c r="B232" t="s">
        <v>165</v>
      </c>
      <c r="C232" t="s">
        <v>7</v>
      </c>
      <c r="D232" t="s">
        <v>22</v>
      </c>
      <c r="E232" t="s">
        <v>201</v>
      </c>
      <c r="F232" t="s">
        <v>31</v>
      </c>
      <c r="G232" s="3">
        <f t="shared" ca="1" si="3"/>
        <v>10678</v>
      </c>
    </row>
    <row r="233" spans="1:7" x14ac:dyDescent="0.3">
      <c r="A233">
        <v>231</v>
      </c>
      <c r="B233" t="s">
        <v>165</v>
      </c>
      <c r="C233" t="s">
        <v>13</v>
      </c>
      <c r="D233" t="s">
        <v>202</v>
      </c>
      <c r="E233" t="s">
        <v>132</v>
      </c>
      <c r="F233" t="s">
        <v>10</v>
      </c>
      <c r="G233" s="3">
        <f t="shared" ca="1" si="3"/>
        <v>6518</v>
      </c>
    </row>
    <row r="234" spans="1:7" x14ac:dyDescent="0.3">
      <c r="A234">
        <v>232</v>
      </c>
      <c r="B234" t="s">
        <v>165</v>
      </c>
      <c r="C234" t="s">
        <v>13</v>
      </c>
      <c r="D234" t="s">
        <v>14</v>
      </c>
      <c r="E234" t="s">
        <v>15</v>
      </c>
      <c r="F234" t="s">
        <v>10</v>
      </c>
      <c r="G234" s="3">
        <f t="shared" ca="1" si="3"/>
        <v>10335</v>
      </c>
    </row>
    <row r="235" spans="1:7" x14ac:dyDescent="0.3">
      <c r="A235">
        <v>233</v>
      </c>
      <c r="B235" t="s">
        <v>165</v>
      </c>
      <c r="C235" t="s">
        <v>7</v>
      </c>
      <c r="D235" t="s">
        <v>203</v>
      </c>
      <c r="E235" t="s">
        <v>26</v>
      </c>
      <c r="F235" t="s">
        <v>10</v>
      </c>
      <c r="G235" s="3">
        <f t="shared" ca="1" si="3"/>
        <v>10717</v>
      </c>
    </row>
    <row r="236" spans="1:7" x14ac:dyDescent="0.3">
      <c r="A236">
        <v>234</v>
      </c>
      <c r="B236" t="s">
        <v>165</v>
      </c>
      <c r="C236" t="s">
        <v>13</v>
      </c>
      <c r="D236" t="s">
        <v>169</v>
      </c>
      <c r="E236" t="s">
        <v>204</v>
      </c>
      <c r="F236" t="s">
        <v>10</v>
      </c>
      <c r="G236" s="3">
        <f t="shared" ca="1" si="3"/>
        <v>10992</v>
      </c>
    </row>
    <row r="237" spans="1:7" x14ac:dyDescent="0.3">
      <c r="A237">
        <v>235</v>
      </c>
      <c r="B237" t="s">
        <v>165</v>
      </c>
      <c r="C237" t="s">
        <v>13</v>
      </c>
      <c r="D237" t="s">
        <v>67</v>
      </c>
      <c r="E237" t="s">
        <v>68</v>
      </c>
      <c r="F237" t="s">
        <v>10</v>
      </c>
      <c r="G237" s="3">
        <f t="shared" ca="1" si="3"/>
        <v>10830</v>
      </c>
    </row>
    <row r="238" spans="1:7" x14ac:dyDescent="0.3">
      <c r="A238">
        <v>236</v>
      </c>
      <c r="B238" t="s">
        <v>165</v>
      </c>
      <c r="C238" t="s">
        <v>13</v>
      </c>
      <c r="D238" t="s">
        <v>169</v>
      </c>
      <c r="E238" t="s">
        <v>164</v>
      </c>
      <c r="F238" t="s">
        <v>10</v>
      </c>
      <c r="G238" s="3">
        <f t="shared" ca="1" si="3"/>
        <v>11417</v>
      </c>
    </row>
    <row r="239" spans="1:7" x14ac:dyDescent="0.3">
      <c r="A239">
        <v>237</v>
      </c>
      <c r="B239" t="s">
        <v>165</v>
      </c>
      <c r="C239" t="s">
        <v>13</v>
      </c>
      <c r="D239" t="s">
        <v>198</v>
      </c>
      <c r="E239" t="s">
        <v>199</v>
      </c>
      <c r="F239" t="s">
        <v>10</v>
      </c>
      <c r="G239" s="3">
        <f t="shared" ca="1" si="3"/>
        <v>6533</v>
      </c>
    </row>
    <row r="240" spans="1:7" x14ac:dyDescent="0.3">
      <c r="A240">
        <v>238</v>
      </c>
      <c r="B240" t="s">
        <v>165</v>
      </c>
      <c r="C240" t="s">
        <v>7</v>
      </c>
      <c r="D240" t="s">
        <v>200</v>
      </c>
      <c r="E240" t="s">
        <v>126</v>
      </c>
      <c r="F240" t="s">
        <v>10</v>
      </c>
      <c r="G240" s="3">
        <f t="shared" ca="1" si="3"/>
        <v>10901</v>
      </c>
    </row>
    <row r="241" spans="1:7" x14ac:dyDescent="0.3">
      <c r="A241">
        <v>239</v>
      </c>
      <c r="B241" t="s">
        <v>165</v>
      </c>
      <c r="C241" t="s">
        <v>7</v>
      </c>
      <c r="D241" t="s">
        <v>22</v>
      </c>
      <c r="E241" t="s">
        <v>201</v>
      </c>
      <c r="F241" t="s">
        <v>31</v>
      </c>
      <c r="G241" s="3">
        <f t="shared" ca="1" si="3"/>
        <v>9131</v>
      </c>
    </row>
    <row r="242" spans="1:7" x14ac:dyDescent="0.3">
      <c r="A242">
        <v>240</v>
      </c>
      <c r="B242" t="s">
        <v>165</v>
      </c>
      <c r="C242" t="s">
        <v>13</v>
      </c>
      <c r="D242" t="s">
        <v>202</v>
      </c>
      <c r="E242" t="s">
        <v>132</v>
      </c>
      <c r="F242" t="s">
        <v>10</v>
      </c>
      <c r="G242" s="3">
        <f t="shared" ca="1" si="3"/>
        <v>6733</v>
      </c>
    </row>
    <row r="243" spans="1:7" x14ac:dyDescent="0.3">
      <c r="A243">
        <v>241</v>
      </c>
      <c r="B243" t="s">
        <v>165</v>
      </c>
      <c r="C243" t="s">
        <v>13</v>
      </c>
      <c r="D243" t="s">
        <v>14</v>
      </c>
      <c r="E243" t="s">
        <v>15</v>
      </c>
      <c r="F243" t="s">
        <v>10</v>
      </c>
      <c r="G243" s="3">
        <f t="shared" ca="1" si="3"/>
        <v>7433</v>
      </c>
    </row>
    <row r="244" spans="1:7" x14ac:dyDescent="0.3">
      <c r="A244">
        <v>242</v>
      </c>
      <c r="B244" t="s">
        <v>165</v>
      </c>
      <c r="C244" t="s">
        <v>7</v>
      </c>
      <c r="D244" t="s">
        <v>203</v>
      </c>
      <c r="E244" t="s">
        <v>26</v>
      </c>
      <c r="F244" t="s">
        <v>10</v>
      </c>
      <c r="G244" s="3">
        <f t="shared" ca="1" si="3"/>
        <v>11799</v>
      </c>
    </row>
    <row r="245" spans="1:7" x14ac:dyDescent="0.3">
      <c r="A245">
        <v>243</v>
      </c>
      <c r="B245" t="s">
        <v>165</v>
      </c>
      <c r="C245" t="s">
        <v>13</v>
      </c>
      <c r="D245" t="s">
        <v>169</v>
      </c>
      <c r="E245" t="s">
        <v>204</v>
      </c>
      <c r="F245" t="s">
        <v>10</v>
      </c>
      <c r="G245" s="3">
        <f t="shared" ca="1" si="3"/>
        <v>8172</v>
      </c>
    </row>
    <row r="246" spans="1:7" x14ac:dyDescent="0.3">
      <c r="A246">
        <v>244</v>
      </c>
      <c r="B246" t="s">
        <v>165</v>
      </c>
      <c r="C246" t="s">
        <v>13</v>
      </c>
      <c r="D246" t="s">
        <v>67</v>
      </c>
      <c r="E246" t="s">
        <v>68</v>
      </c>
      <c r="F246" t="s">
        <v>10</v>
      </c>
      <c r="G246" s="3">
        <f t="shared" ca="1" si="3"/>
        <v>10328</v>
      </c>
    </row>
    <row r="247" spans="1:7" x14ac:dyDescent="0.3">
      <c r="A247">
        <v>245</v>
      </c>
      <c r="B247" t="s">
        <v>165</v>
      </c>
      <c r="C247" t="s">
        <v>7</v>
      </c>
      <c r="D247" t="s">
        <v>205</v>
      </c>
      <c r="E247" t="s">
        <v>206</v>
      </c>
      <c r="F247" t="s">
        <v>10</v>
      </c>
      <c r="G247" s="3">
        <f t="shared" ca="1" si="3"/>
        <v>8815</v>
      </c>
    </row>
    <row r="248" spans="1:7" x14ac:dyDescent="0.3">
      <c r="A248">
        <v>246</v>
      </c>
      <c r="B248" t="s">
        <v>165</v>
      </c>
      <c r="C248" t="s">
        <v>7</v>
      </c>
      <c r="D248" t="s">
        <v>11</v>
      </c>
      <c r="E248" t="s">
        <v>207</v>
      </c>
      <c r="F248" t="s">
        <v>10</v>
      </c>
      <c r="G248" s="3">
        <f t="shared" ca="1" si="3"/>
        <v>8785</v>
      </c>
    </row>
    <row r="249" spans="1:7" x14ac:dyDescent="0.3">
      <c r="A249">
        <v>247</v>
      </c>
      <c r="B249" t="s">
        <v>165</v>
      </c>
      <c r="C249" t="s">
        <v>13</v>
      </c>
      <c r="D249" t="s">
        <v>208</v>
      </c>
      <c r="E249" t="s">
        <v>209</v>
      </c>
      <c r="F249" t="s">
        <v>10</v>
      </c>
      <c r="G249" s="3">
        <f t="shared" ca="1" si="3"/>
        <v>7233</v>
      </c>
    </row>
    <row r="250" spans="1:7" x14ac:dyDescent="0.3">
      <c r="A250">
        <v>248</v>
      </c>
      <c r="B250" t="s">
        <v>165</v>
      </c>
      <c r="C250" t="s">
        <v>24</v>
      </c>
      <c r="D250" t="s">
        <v>35</v>
      </c>
      <c r="E250" t="s">
        <v>210</v>
      </c>
      <c r="F250" t="s">
        <v>10</v>
      </c>
      <c r="G250" s="3">
        <f t="shared" ca="1" si="3"/>
        <v>10202</v>
      </c>
    </row>
    <row r="251" spans="1:7" x14ac:dyDescent="0.3">
      <c r="A251">
        <v>249</v>
      </c>
      <c r="B251" t="s">
        <v>165</v>
      </c>
      <c r="C251" t="s">
        <v>7</v>
      </c>
      <c r="D251" t="s">
        <v>179</v>
      </c>
      <c r="E251" t="s">
        <v>211</v>
      </c>
      <c r="F251" t="s">
        <v>10</v>
      </c>
      <c r="G251" s="3">
        <f t="shared" ca="1" si="3"/>
        <v>7609</v>
      </c>
    </row>
    <row r="252" spans="1:7" x14ac:dyDescent="0.3">
      <c r="A252">
        <v>250</v>
      </c>
      <c r="B252" t="s">
        <v>165</v>
      </c>
      <c r="C252" t="s">
        <v>24</v>
      </c>
      <c r="D252" t="s">
        <v>212</v>
      </c>
      <c r="E252" t="s">
        <v>213</v>
      </c>
      <c r="F252" t="s">
        <v>19</v>
      </c>
      <c r="G252" s="3">
        <f t="shared" ca="1" si="3"/>
        <v>11523</v>
      </c>
    </row>
    <row r="253" spans="1:7" x14ac:dyDescent="0.3">
      <c r="A253">
        <v>251</v>
      </c>
      <c r="B253" t="s">
        <v>165</v>
      </c>
      <c r="C253" t="s">
        <v>13</v>
      </c>
      <c r="D253" t="s">
        <v>81</v>
      </c>
      <c r="E253" t="s">
        <v>19</v>
      </c>
      <c r="F253" t="s">
        <v>10</v>
      </c>
      <c r="G253" s="3">
        <f t="shared" ca="1" si="3"/>
        <v>9531</v>
      </c>
    </row>
    <row r="254" spans="1:7" x14ac:dyDescent="0.3">
      <c r="A254">
        <v>252</v>
      </c>
      <c r="B254" t="s">
        <v>165</v>
      </c>
      <c r="C254" t="s">
        <v>24</v>
      </c>
      <c r="D254" t="s">
        <v>214</v>
      </c>
      <c r="E254" t="s">
        <v>180</v>
      </c>
      <c r="F254" t="s">
        <v>10</v>
      </c>
      <c r="G254" s="3">
        <f t="shared" ca="1" si="3"/>
        <v>7643</v>
      </c>
    </row>
    <row r="255" spans="1:7" x14ac:dyDescent="0.3">
      <c r="A255">
        <v>253</v>
      </c>
      <c r="B255" t="s">
        <v>165</v>
      </c>
      <c r="C255" t="s">
        <v>24</v>
      </c>
      <c r="D255" t="s">
        <v>16</v>
      </c>
      <c r="E255" t="s">
        <v>26</v>
      </c>
      <c r="F255" t="s">
        <v>10</v>
      </c>
      <c r="G255" s="3">
        <f t="shared" ca="1" si="3"/>
        <v>7937</v>
      </c>
    </row>
    <row r="256" spans="1:7" x14ac:dyDescent="0.3">
      <c r="A256">
        <v>254</v>
      </c>
      <c r="B256" t="s">
        <v>165</v>
      </c>
      <c r="C256" t="s">
        <v>13</v>
      </c>
      <c r="D256" t="s">
        <v>63</v>
      </c>
      <c r="E256" t="s">
        <v>26</v>
      </c>
      <c r="F256" t="s">
        <v>10</v>
      </c>
      <c r="G256" s="3">
        <f t="shared" ca="1" si="3"/>
        <v>9646</v>
      </c>
    </row>
    <row r="257" spans="1:7" x14ac:dyDescent="0.3">
      <c r="A257">
        <v>255</v>
      </c>
      <c r="B257" t="s">
        <v>165</v>
      </c>
      <c r="C257" t="s">
        <v>19</v>
      </c>
      <c r="D257" t="s">
        <v>215</v>
      </c>
      <c r="E257" t="s">
        <v>216</v>
      </c>
      <c r="F257" t="s">
        <v>31</v>
      </c>
      <c r="G257" s="3">
        <f t="shared" ca="1" si="3"/>
        <v>9272</v>
      </c>
    </row>
    <row r="258" spans="1:7" x14ac:dyDescent="0.3">
      <c r="A258">
        <v>256</v>
      </c>
      <c r="B258" t="s">
        <v>165</v>
      </c>
      <c r="C258" t="s">
        <v>13</v>
      </c>
      <c r="D258" t="s">
        <v>202</v>
      </c>
      <c r="E258" t="s">
        <v>132</v>
      </c>
      <c r="F258" t="s">
        <v>10</v>
      </c>
      <c r="G258" s="3">
        <f t="shared" ref="G258:G321" ca="1" si="4">RANDBETWEEN(6500,12000)</f>
        <v>10908</v>
      </c>
    </row>
    <row r="259" spans="1:7" x14ac:dyDescent="0.3">
      <c r="A259">
        <v>257</v>
      </c>
      <c r="B259" t="s">
        <v>165</v>
      </c>
      <c r="C259" t="s">
        <v>24</v>
      </c>
      <c r="D259" t="s">
        <v>212</v>
      </c>
      <c r="E259" t="s">
        <v>213</v>
      </c>
      <c r="F259" t="s">
        <v>19</v>
      </c>
      <c r="G259" s="3">
        <f t="shared" ca="1" si="4"/>
        <v>8985</v>
      </c>
    </row>
    <row r="260" spans="1:7" x14ac:dyDescent="0.3">
      <c r="A260">
        <v>258</v>
      </c>
      <c r="B260" t="s">
        <v>165</v>
      </c>
      <c r="C260" t="s">
        <v>7</v>
      </c>
      <c r="D260" t="s">
        <v>22</v>
      </c>
      <c r="E260" t="s">
        <v>164</v>
      </c>
      <c r="F260" t="s">
        <v>10</v>
      </c>
      <c r="G260" s="3">
        <f t="shared" ca="1" si="4"/>
        <v>6706</v>
      </c>
    </row>
    <row r="261" spans="1:7" x14ac:dyDescent="0.3">
      <c r="A261">
        <v>259</v>
      </c>
      <c r="B261" t="s">
        <v>165</v>
      </c>
      <c r="C261" t="s">
        <v>7</v>
      </c>
      <c r="D261" t="s">
        <v>217</v>
      </c>
      <c r="E261" t="s">
        <v>218</v>
      </c>
      <c r="F261" t="s">
        <v>10</v>
      </c>
      <c r="G261" s="3">
        <f t="shared" ca="1" si="4"/>
        <v>10019</v>
      </c>
    </row>
    <row r="262" spans="1:7" x14ac:dyDescent="0.3">
      <c r="A262">
        <v>260</v>
      </c>
      <c r="B262" t="s">
        <v>165</v>
      </c>
      <c r="C262" t="s">
        <v>13</v>
      </c>
      <c r="D262" t="s">
        <v>219</v>
      </c>
      <c r="E262" t="s">
        <v>19</v>
      </c>
      <c r="F262" t="s">
        <v>19</v>
      </c>
      <c r="G262" s="3">
        <f t="shared" ca="1" si="4"/>
        <v>8707</v>
      </c>
    </row>
    <row r="263" spans="1:7" x14ac:dyDescent="0.3">
      <c r="A263">
        <v>261</v>
      </c>
      <c r="B263" t="s">
        <v>165</v>
      </c>
      <c r="C263" t="s">
        <v>7</v>
      </c>
      <c r="D263" t="s">
        <v>220</v>
      </c>
      <c r="E263" t="s">
        <v>26</v>
      </c>
      <c r="F263" t="s">
        <v>10</v>
      </c>
      <c r="G263" s="3">
        <f t="shared" ca="1" si="4"/>
        <v>6956</v>
      </c>
    </row>
    <row r="264" spans="1:7" x14ac:dyDescent="0.3">
      <c r="A264">
        <v>262</v>
      </c>
      <c r="B264" t="s">
        <v>165</v>
      </c>
      <c r="C264" t="s">
        <v>13</v>
      </c>
      <c r="D264" t="s">
        <v>97</v>
      </c>
      <c r="E264" t="s">
        <v>221</v>
      </c>
      <c r="F264" t="s">
        <v>10</v>
      </c>
      <c r="G264" s="3">
        <f t="shared" ca="1" si="4"/>
        <v>11032</v>
      </c>
    </row>
    <row r="265" spans="1:7" x14ac:dyDescent="0.3">
      <c r="A265">
        <v>263</v>
      </c>
      <c r="B265" t="s">
        <v>165</v>
      </c>
      <c r="C265" t="s">
        <v>7</v>
      </c>
      <c r="D265" t="s">
        <v>22</v>
      </c>
      <c r="E265" t="s">
        <v>153</v>
      </c>
      <c r="F265" t="s">
        <v>10</v>
      </c>
      <c r="G265" s="3">
        <f t="shared" ca="1" si="4"/>
        <v>10438</v>
      </c>
    </row>
    <row r="266" spans="1:7" x14ac:dyDescent="0.3">
      <c r="A266">
        <v>264</v>
      </c>
      <c r="B266" t="s">
        <v>165</v>
      </c>
      <c r="C266" t="s">
        <v>7</v>
      </c>
      <c r="D266" t="s">
        <v>22</v>
      </c>
      <c r="E266" t="s">
        <v>222</v>
      </c>
      <c r="F266" t="s">
        <v>10</v>
      </c>
      <c r="G266" s="3">
        <f t="shared" ca="1" si="4"/>
        <v>9002</v>
      </c>
    </row>
    <row r="267" spans="1:7" x14ac:dyDescent="0.3">
      <c r="A267">
        <v>265</v>
      </c>
      <c r="B267" t="s">
        <v>165</v>
      </c>
      <c r="C267" t="s">
        <v>7</v>
      </c>
      <c r="D267" t="s">
        <v>22</v>
      </c>
      <c r="E267" t="s">
        <v>77</v>
      </c>
      <c r="F267" t="s">
        <v>10</v>
      </c>
      <c r="G267" s="3">
        <f t="shared" ca="1" si="4"/>
        <v>9524</v>
      </c>
    </row>
    <row r="268" spans="1:7" x14ac:dyDescent="0.3">
      <c r="A268">
        <v>266</v>
      </c>
      <c r="B268" t="s">
        <v>165</v>
      </c>
      <c r="C268" t="s">
        <v>7</v>
      </c>
      <c r="D268" t="s">
        <v>223</v>
      </c>
      <c r="E268" t="s">
        <v>224</v>
      </c>
      <c r="F268" t="s">
        <v>10</v>
      </c>
      <c r="G268" s="3">
        <f t="shared" ca="1" si="4"/>
        <v>9475</v>
      </c>
    </row>
    <row r="269" spans="1:7" x14ac:dyDescent="0.3">
      <c r="A269">
        <v>267</v>
      </c>
      <c r="B269" t="s">
        <v>165</v>
      </c>
      <c r="C269" t="s">
        <v>13</v>
      </c>
      <c r="D269" t="s">
        <v>16</v>
      </c>
      <c r="E269" t="s">
        <v>19</v>
      </c>
      <c r="F269" t="s">
        <v>10</v>
      </c>
      <c r="G269" s="3">
        <f t="shared" ca="1" si="4"/>
        <v>10119</v>
      </c>
    </row>
    <row r="270" spans="1:7" x14ac:dyDescent="0.3">
      <c r="A270">
        <v>268</v>
      </c>
      <c r="B270" t="s">
        <v>165</v>
      </c>
      <c r="C270" t="s">
        <v>24</v>
      </c>
      <c r="D270" t="s">
        <v>97</v>
      </c>
      <c r="E270" t="s">
        <v>180</v>
      </c>
      <c r="F270" t="s">
        <v>10</v>
      </c>
      <c r="G270" s="3">
        <f t="shared" ca="1" si="4"/>
        <v>11619</v>
      </c>
    </row>
    <row r="271" spans="1:7" x14ac:dyDescent="0.3">
      <c r="A271">
        <v>269</v>
      </c>
      <c r="B271" t="s">
        <v>165</v>
      </c>
      <c r="C271" t="s">
        <v>24</v>
      </c>
      <c r="D271" t="s">
        <v>97</v>
      </c>
      <c r="E271" t="s">
        <v>225</v>
      </c>
      <c r="F271" t="s">
        <v>10</v>
      </c>
      <c r="G271" s="3">
        <f t="shared" ca="1" si="4"/>
        <v>8400</v>
      </c>
    </row>
    <row r="272" spans="1:7" x14ac:dyDescent="0.3">
      <c r="A272">
        <v>270</v>
      </c>
      <c r="B272" t="s">
        <v>165</v>
      </c>
      <c r="C272" t="s">
        <v>7</v>
      </c>
      <c r="D272" t="s">
        <v>105</v>
      </c>
      <c r="E272" t="s">
        <v>226</v>
      </c>
      <c r="F272" t="s">
        <v>10</v>
      </c>
      <c r="G272" s="3">
        <f t="shared" ca="1" si="4"/>
        <v>8259</v>
      </c>
    </row>
    <row r="273" spans="1:7" x14ac:dyDescent="0.3">
      <c r="A273">
        <v>271</v>
      </c>
      <c r="B273" t="s">
        <v>165</v>
      </c>
      <c r="C273" t="s">
        <v>24</v>
      </c>
      <c r="D273" t="s">
        <v>140</v>
      </c>
      <c r="E273" t="s">
        <v>163</v>
      </c>
      <c r="F273" t="s">
        <v>10</v>
      </c>
      <c r="G273" s="3">
        <f t="shared" ca="1" si="4"/>
        <v>11818</v>
      </c>
    </row>
    <row r="274" spans="1:7" x14ac:dyDescent="0.3">
      <c r="A274">
        <v>272</v>
      </c>
      <c r="B274" t="s">
        <v>165</v>
      </c>
      <c r="C274" t="s">
        <v>7</v>
      </c>
      <c r="D274" t="s">
        <v>227</v>
      </c>
      <c r="E274" t="s">
        <v>19</v>
      </c>
      <c r="F274" t="s">
        <v>10</v>
      </c>
      <c r="G274" s="3">
        <f t="shared" ca="1" si="4"/>
        <v>8307</v>
      </c>
    </row>
    <row r="275" spans="1:7" x14ac:dyDescent="0.3">
      <c r="A275">
        <v>273</v>
      </c>
      <c r="B275" t="s">
        <v>165</v>
      </c>
      <c r="C275" t="s">
        <v>13</v>
      </c>
      <c r="D275" t="s">
        <v>228</v>
      </c>
      <c r="E275" t="s">
        <v>19</v>
      </c>
      <c r="F275" t="s">
        <v>19</v>
      </c>
      <c r="G275" s="3">
        <f t="shared" ca="1" si="4"/>
        <v>10430</v>
      </c>
    </row>
    <row r="276" spans="1:7" x14ac:dyDescent="0.3">
      <c r="A276">
        <v>274</v>
      </c>
      <c r="B276" t="s">
        <v>165</v>
      </c>
      <c r="C276" t="s">
        <v>13</v>
      </c>
      <c r="D276" t="s">
        <v>229</v>
      </c>
      <c r="E276" t="s">
        <v>230</v>
      </c>
      <c r="F276" t="s">
        <v>19</v>
      </c>
      <c r="G276" s="3">
        <f t="shared" ca="1" si="4"/>
        <v>9507</v>
      </c>
    </row>
    <row r="277" spans="1:7" x14ac:dyDescent="0.3">
      <c r="A277">
        <v>275</v>
      </c>
      <c r="B277" t="s">
        <v>165</v>
      </c>
      <c r="C277" t="s">
        <v>19</v>
      </c>
      <c r="D277" t="s">
        <v>19</v>
      </c>
      <c r="E277" t="s">
        <v>19</v>
      </c>
      <c r="F277" t="s">
        <v>19</v>
      </c>
      <c r="G277" s="3">
        <f t="shared" ca="1" si="4"/>
        <v>7564</v>
      </c>
    </row>
    <row r="278" spans="1:7" x14ac:dyDescent="0.3">
      <c r="A278">
        <v>276</v>
      </c>
      <c r="B278" t="s">
        <v>165</v>
      </c>
      <c r="C278" t="s">
        <v>7</v>
      </c>
      <c r="D278" t="s">
        <v>45</v>
      </c>
      <c r="E278" t="s">
        <v>92</v>
      </c>
      <c r="F278" t="s">
        <v>10</v>
      </c>
      <c r="G278" s="3">
        <f t="shared" ca="1" si="4"/>
        <v>9941</v>
      </c>
    </row>
    <row r="279" spans="1:7" x14ac:dyDescent="0.3">
      <c r="A279">
        <v>277</v>
      </c>
      <c r="B279" t="s">
        <v>165</v>
      </c>
      <c r="C279" t="s">
        <v>7</v>
      </c>
      <c r="D279" t="s">
        <v>177</v>
      </c>
      <c r="E279" t="s">
        <v>183</v>
      </c>
      <c r="F279" t="s">
        <v>10</v>
      </c>
      <c r="G279" s="3">
        <f t="shared" ca="1" si="4"/>
        <v>11842</v>
      </c>
    </row>
    <row r="280" spans="1:7" x14ac:dyDescent="0.3">
      <c r="A280">
        <v>278</v>
      </c>
      <c r="B280" t="s">
        <v>165</v>
      </c>
      <c r="C280" t="s">
        <v>13</v>
      </c>
      <c r="D280" t="s">
        <v>181</v>
      </c>
      <c r="E280" t="s">
        <v>182</v>
      </c>
      <c r="F280" t="s">
        <v>10</v>
      </c>
      <c r="G280" s="3">
        <f t="shared" ca="1" si="4"/>
        <v>9839</v>
      </c>
    </row>
    <row r="281" spans="1:7" x14ac:dyDescent="0.3">
      <c r="A281">
        <v>279</v>
      </c>
      <c r="B281" t="s">
        <v>165</v>
      </c>
      <c r="C281" t="s">
        <v>7</v>
      </c>
      <c r="D281" t="s">
        <v>212</v>
      </c>
      <c r="E281" t="s">
        <v>213</v>
      </c>
      <c r="F281" t="s">
        <v>10</v>
      </c>
      <c r="G281" s="3">
        <f t="shared" ca="1" si="4"/>
        <v>11880</v>
      </c>
    </row>
    <row r="282" spans="1:7" x14ac:dyDescent="0.3">
      <c r="A282">
        <v>280</v>
      </c>
      <c r="B282" t="s">
        <v>165</v>
      </c>
      <c r="C282" t="s">
        <v>7</v>
      </c>
      <c r="D282" t="s">
        <v>231</v>
      </c>
      <c r="E282" t="s">
        <v>232</v>
      </c>
      <c r="F282" t="s">
        <v>10</v>
      </c>
      <c r="G282" s="3">
        <f t="shared" ca="1" si="4"/>
        <v>9712</v>
      </c>
    </row>
    <row r="283" spans="1:7" x14ac:dyDescent="0.3">
      <c r="A283">
        <v>281</v>
      </c>
      <c r="B283" t="s">
        <v>165</v>
      </c>
      <c r="C283" t="s">
        <v>13</v>
      </c>
      <c r="D283" t="s">
        <v>16</v>
      </c>
      <c r="E283" t="s">
        <v>233</v>
      </c>
      <c r="F283" t="s">
        <v>19</v>
      </c>
      <c r="G283" s="3">
        <f t="shared" ca="1" si="4"/>
        <v>8347</v>
      </c>
    </row>
    <row r="284" spans="1:7" x14ac:dyDescent="0.3">
      <c r="A284">
        <v>282</v>
      </c>
      <c r="B284" t="s">
        <v>165</v>
      </c>
      <c r="C284" t="s">
        <v>7</v>
      </c>
      <c r="D284" t="s">
        <v>8</v>
      </c>
      <c r="E284" t="s">
        <v>234</v>
      </c>
      <c r="F284" t="s">
        <v>10</v>
      </c>
      <c r="G284" s="3">
        <f t="shared" ca="1" si="4"/>
        <v>6769</v>
      </c>
    </row>
    <row r="285" spans="1:7" x14ac:dyDescent="0.3">
      <c r="A285">
        <v>283</v>
      </c>
      <c r="B285" t="s">
        <v>165</v>
      </c>
      <c r="C285" t="s">
        <v>24</v>
      </c>
      <c r="D285" t="s">
        <v>114</v>
      </c>
      <c r="E285" t="s">
        <v>26</v>
      </c>
      <c r="F285" t="s">
        <v>10</v>
      </c>
      <c r="G285" s="3">
        <f t="shared" ca="1" si="4"/>
        <v>8261</v>
      </c>
    </row>
    <row r="286" spans="1:7" x14ac:dyDescent="0.3">
      <c r="A286">
        <v>284</v>
      </c>
      <c r="B286" t="s">
        <v>165</v>
      </c>
      <c r="C286" t="s">
        <v>7</v>
      </c>
      <c r="D286" t="s">
        <v>19</v>
      </c>
      <c r="E286" t="s">
        <v>235</v>
      </c>
      <c r="F286" t="s">
        <v>10</v>
      </c>
      <c r="G286" s="3">
        <f t="shared" ca="1" si="4"/>
        <v>11214</v>
      </c>
    </row>
    <row r="287" spans="1:7" x14ac:dyDescent="0.3">
      <c r="A287">
        <v>285</v>
      </c>
      <c r="B287" t="s">
        <v>165</v>
      </c>
      <c r="C287" t="s">
        <v>24</v>
      </c>
      <c r="D287" t="s">
        <v>16</v>
      </c>
      <c r="E287" t="s">
        <v>26</v>
      </c>
      <c r="F287" t="s">
        <v>10</v>
      </c>
      <c r="G287" s="3">
        <f t="shared" ca="1" si="4"/>
        <v>9800</v>
      </c>
    </row>
    <row r="288" spans="1:7" x14ac:dyDescent="0.3">
      <c r="A288">
        <v>286</v>
      </c>
      <c r="B288" t="s">
        <v>165</v>
      </c>
      <c r="C288" t="s">
        <v>24</v>
      </c>
      <c r="D288" t="s">
        <v>169</v>
      </c>
      <c r="E288" t="s">
        <v>153</v>
      </c>
      <c r="F288" t="s">
        <v>10</v>
      </c>
      <c r="G288" s="3">
        <f t="shared" ca="1" si="4"/>
        <v>9847</v>
      </c>
    </row>
    <row r="289" spans="1:7" x14ac:dyDescent="0.3">
      <c r="A289">
        <v>287</v>
      </c>
      <c r="B289" t="s">
        <v>165</v>
      </c>
      <c r="C289" t="s">
        <v>7</v>
      </c>
      <c r="D289" t="s">
        <v>19</v>
      </c>
      <c r="E289" t="s">
        <v>236</v>
      </c>
      <c r="F289" t="s">
        <v>19</v>
      </c>
      <c r="G289" s="3">
        <f t="shared" ca="1" si="4"/>
        <v>7130</v>
      </c>
    </row>
    <row r="290" spans="1:7" x14ac:dyDescent="0.3">
      <c r="A290">
        <v>288</v>
      </c>
      <c r="B290" t="s">
        <v>165</v>
      </c>
      <c r="C290" t="s">
        <v>13</v>
      </c>
      <c r="D290" t="s">
        <v>237</v>
      </c>
      <c r="E290" t="s">
        <v>238</v>
      </c>
      <c r="F290" t="s">
        <v>10</v>
      </c>
      <c r="G290" s="3">
        <f t="shared" ca="1" si="4"/>
        <v>11783</v>
      </c>
    </row>
    <row r="291" spans="1:7" x14ac:dyDescent="0.3">
      <c r="A291">
        <v>289</v>
      </c>
      <c r="B291" t="s">
        <v>165</v>
      </c>
      <c r="C291" t="s">
        <v>19</v>
      </c>
      <c r="D291" t="s">
        <v>19</v>
      </c>
      <c r="E291" t="s">
        <v>19</v>
      </c>
      <c r="F291" t="s">
        <v>19</v>
      </c>
      <c r="G291" s="3">
        <f t="shared" ca="1" si="4"/>
        <v>10879</v>
      </c>
    </row>
    <row r="292" spans="1:7" x14ac:dyDescent="0.3">
      <c r="A292">
        <v>290</v>
      </c>
      <c r="B292" t="s">
        <v>165</v>
      </c>
      <c r="C292" t="s">
        <v>19</v>
      </c>
      <c r="D292" t="s">
        <v>19</v>
      </c>
      <c r="E292" t="s">
        <v>19</v>
      </c>
      <c r="F292" t="s">
        <v>19</v>
      </c>
      <c r="G292" s="3">
        <f t="shared" ca="1" si="4"/>
        <v>10773</v>
      </c>
    </row>
    <row r="293" spans="1:7" x14ac:dyDescent="0.3">
      <c r="A293">
        <v>291</v>
      </c>
      <c r="B293" t="s">
        <v>165</v>
      </c>
      <c r="C293" t="s">
        <v>19</v>
      </c>
      <c r="D293" t="s">
        <v>19</v>
      </c>
      <c r="E293" t="s">
        <v>19</v>
      </c>
      <c r="F293" t="s">
        <v>19</v>
      </c>
      <c r="G293" s="3">
        <f t="shared" ca="1" si="4"/>
        <v>9727</v>
      </c>
    </row>
    <row r="294" spans="1:7" x14ac:dyDescent="0.3">
      <c r="A294">
        <v>292</v>
      </c>
      <c r="B294" t="s">
        <v>165</v>
      </c>
      <c r="C294" t="s">
        <v>19</v>
      </c>
      <c r="D294" t="s">
        <v>212</v>
      </c>
      <c r="E294" t="s">
        <v>213</v>
      </c>
      <c r="F294" t="s">
        <v>19</v>
      </c>
      <c r="G294" s="3">
        <f t="shared" ca="1" si="4"/>
        <v>9791</v>
      </c>
    </row>
    <row r="295" spans="1:7" x14ac:dyDescent="0.3">
      <c r="A295">
        <v>293</v>
      </c>
      <c r="B295" t="s">
        <v>165</v>
      </c>
      <c r="C295" t="s">
        <v>24</v>
      </c>
      <c r="D295" t="s">
        <v>239</v>
      </c>
      <c r="E295" t="s">
        <v>153</v>
      </c>
      <c r="F295" t="s">
        <v>104</v>
      </c>
      <c r="G295" s="3">
        <f t="shared" ca="1" si="4"/>
        <v>10297</v>
      </c>
    </row>
    <row r="296" spans="1:7" x14ac:dyDescent="0.3">
      <c r="A296">
        <v>294</v>
      </c>
      <c r="B296" t="s">
        <v>165</v>
      </c>
      <c r="C296" t="s">
        <v>7</v>
      </c>
      <c r="D296" t="s">
        <v>8</v>
      </c>
      <c r="E296" t="s">
        <v>153</v>
      </c>
      <c r="F296" t="s">
        <v>10</v>
      </c>
      <c r="G296" s="3">
        <f t="shared" ca="1" si="4"/>
        <v>10639</v>
      </c>
    </row>
    <row r="297" spans="1:7" x14ac:dyDescent="0.3">
      <c r="A297">
        <v>295</v>
      </c>
      <c r="B297" t="s">
        <v>165</v>
      </c>
      <c r="C297" t="s">
        <v>24</v>
      </c>
      <c r="D297" t="s">
        <v>240</v>
      </c>
      <c r="E297" t="s">
        <v>120</v>
      </c>
      <c r="F297" t="s">
        <v>10</v>
      </c>
      <c r="G297" s="3">
        <f t="shared" ca="1" si="4"/>
        <v>7133</v>
      </c>
    </row>
    <row r="298" spans="1:7" x14ac:dyDescent="0.3">
      <c r="A298">
        <v>296</v>
      </c>
      <c r="B298" t="s">
        <v>165</v>
      </c>
      <c r="C298" t="s">
        <v>7</v>
      </c>
      <c r="D298" t="s">
        <v>241</v>
      </c>
      <c r="E298" t="s">
        <v>242</v>
      </c>
      <c r="F298" t="s">
        <v>19</v>
      </c>
      <c r="G298" s="3">
        <f t="shared" ca="1" si="4"/>
        <v>8107</v>
      </c>
    </row>
    <row r="299" spans="1:7" x14ac:dyDescent="0.3">
      <c r="A299">
        <v>297</v>
      </c>
      <c r="B299" t="s">
        <v>165</v>
      </c>
      <c r="C299" t="s">
        <v>7</v>
      </c>
      <c r="D299" t="s">
        <v>243</v>
      </c>
      <c r="E299" t="s">
        <v>153</v>
      </c>
      <c r="F299" t="s">
        <v>10</v>
      </c>
      <c r="G299" s="3">
        <f t="shared" ca="1" si="4"/>
        <v>11381</v>
      </c>
    </row>
    <row r="300" spans="1:7" x14ac:dyDescent="0.3">
      <c r="A300">
        <v>298</v>
      </c>
      <c r="B300" t="s">
        <v>165</v>
      </c>
      <c r="C300" t="s">
        <v>13</v>
      </c>
      <c r="D300" t="s">
        <v>35</v>
      </c>
      <c r="E300" t="s">
        <v>19</v>
      </c>
      <c r="F300" t="s">
        <v>10</v>
      </c>
      <c r="G300" s="3">
        <f t="shared" ca="1" si="4"/>
        <v>10233</v>
      </c>
    </row>
    <row r="301" spans="1:7" x14ac:dyDescent="0.3">
      <c r="A301">
        <v>299</v>
      </c>
      <c r="B301" t="s">
        <v>165</v>
      </c>
      <c r="C301" t="s">
        <v>13</v>
      </c>
      <c r="D301" t="s">
        <v>91</v>
      </c>
      <c r="E301" t="s">
        <v>156</v>
      </c>
      <c r="F301" t="s">
        <v>19</v>
      </c>
      <c r="G301" s="3">
        <f t="shared" ca="1" si="4"/>
        <v>9672</v>
      </c>
    </row>
    <row r="302" spans="1:7" x14ac:dyDescent="0.3">
      <c r="A302">
        <v>300</v>
      </c>
      <c r="B302" t="s">
        <v>165</v>
      </c>
      <c r="C302" t="s">
        <v>7</v>
      </c>
      <c r="D302" t="s">
        <v>119</v>
      </c>
      <c r="E302" t="s">
        <v>244</v>
      </c>
      <c r="F302" t="s">
        <v>10</v>
      </c>
      <c r="G302" s="3">
        <f t="shared" ca="1" si="4"/>
        <v>8358</v>
      </c>
    </row>
    <row r="303" spans="1:7" x14ac:dyDescent="0.3">
      <c r="A303">
        <v>301</v>
      </c>
      <c r="B303" t="s">
        <v>165</v>
      </c>
      <c r="C303" t="s">
        <v>13</v>
      </c>
      <c r="D303" t="s">
        <v>97</v>
      </c>
      <c r="E303" t="s">
        <v>245</v>
      </c>
      <c r="F303" t="s">
        <v>10</v>
      </c>
      <c r="G303" s="3">
        <f t="shared" ca="1" si="4"/>
        <v>7467</v>
      </c>
    </row>
    <row r="304" spans="1:7" x14ac:dyDescent="0.3">
      <c r="A304">
        <v>302</v>
      </c>
      <c r="B304" t="s">
        <v>165</v>
      </c>
      <c r="C304" t="s">
        <v>13</v>
      </c>
      <c r="D304" t="s">
        <v>119</v>
      </c>
      <c r="E304" t="s">
        <v>120</v>
      </c>
      <c r="F304" t="s">
        <v>10</v>
      </c>
      <c r="G304" s="3">
        <f t="shared" ca="1" si="4"/>
        <v>9032</v>
      </c>
    </row>
    <row r="305" spans="1:7" x14ac:dyDescent="0.3">
      <c r="A305">
        <v>303</v>
      </c>
      <c r="B305" t="s">
        <v>165</v>
      </c>
      <c r="C305" t="s">
        <v>19</v>
      </c>
      <c r="D305" t="s">
        <v>16</v>
      </c>
      <c r="E305" t="s">
        <v>246</v>
      </c>
      <c r="F305" t="s">
        <v>10</v>
      </c>
      <c r="G305" s="3">
        <f t="shared" ca="1" si="4"/>
        <v>10257</v>
      </c>
    </row>
    <row r="306" spans="1:7" x14ac:dyDescent="0.3">
      <c r="A306">
        <v>304</v>
      </c>
      <c r="B306" t="s">
        <v>165</v>
      </c>
      <c r="C306" t="s">
        <v>13</v>
      </c>
      <c r="D306" t="s">
        <v>247</v>
      </c>
      <c r="E306" t="s">
        <v>248</v>
      </c>
      <c r="F306" t="s">
        <v>10</v>
      </c>
      <c r="G306" s="3">
        <f t="shared" ca="1" si="4"/>
        <v>11082</v>
      </c>
    </row>
    <row r="307" spans="1:7" x14ac:dyDescent="0.3">
      <c r="A307">
        <v>305</v>
      </c>
      <c r="B307" t="s">
        <v>165</v>
      </c>
      <c r="C307" t="s">
        <v>13</v>
      </c>
      <c r="D307" t="s">
        <v>249</v>
      </c>
      <c r="E307" t="s">
        <v>250</v>
      </c>
      <c r="F307" t="s">
        <v>10</v>
      </c>
      <c r="G307" s="3">
        <f t="shared" ca="1" si="4"/>
        <v>10963</v>
      </c>
    </row>
    <row r="308" spans="1:7" x14ac:dyDescent="0.3">
      <c r="A308">
        <v>306</v>
      </c>
      <c r="B308" t="s">
        <v>165</v>
      </c>
      <c r="C308" t="s">
        <v>7</v>
      </c>
      <c r="D308" t="s">
        <v>241</v>
      </c>
      <c r="E308" t="s">
        <v>242</v>
      </c>
      <c r="F308" t="s">
        <v>19</v>
      </c>
      <c r="G308" s="3">
        <f t="shared" ca="1" si="4"/>
        <v>11605</v>
      </c>
    </row>
    <row r="309" spans="1:7" x14ac:dyDescent="0.3">
      <c r="A309">
        <v>307</v>
      </c>
      <c r="B309" t="s">
        <v>165</v>
      </c>
      <c r="C309" t="s">
        <v>7</v>
      </c>
      <c r="D309" t="s">
        <v>243</v>
      </c>
      <c r="E309" t="s">
        <v>153</v>
      </c>
      <c r="F309" t="s">
        <v>10</v>
      </c>
      <c r="G309" s="3">
        <f t="shared" ca="1" si="4"/>
        <v>9246</v>
      </c>
    </row>
    <row r="310" spans="1:7" x14ac:dyDescent="0.3">
      <c r="A310">
        <v>308</v>
      </c>
      <c r="B310" t="s">
        <v>165</v>
      </c>
      <c r="C310" t="s">
        <v>13</v>
      </c>
      <c r="D310" t="s">
        <v>35</v>
      </c>
      <c r="E310" t="s">
        <v>19</v>
      </c>
      <c r="F310" t="s">
        <v>10</v>
      </c>
      <c r="G310" s="3">
        <f t="shared" ca="1" si="4"/>
        <v>8062</v>
      </c>
    </row>
    <row r="311" spans="1:7" x14ac:dyDescent="0.3">
      <c r="A311">
        <v>309</v>
      </c>
      <c r="B311" t="s">
        <v>165</v>
      </c>
      <c r="C311" t="s">
        <v>13</v>
      </c>
      <c r="D311" t="s">
        <v>91</v>
      </c>
      <c r="E311" t="s">
        <v>156</v>
      </c>
      <c r="F311" t="s">
        <v>19</v>
      </c>
      <c r="G311" s="3">
        <f t="shared" ca="1" si="4"/>
        <v>7549</v>
      </c>
    </row>
    <row r="312" spans="1:7" x14ac:dyDescent="0.3">
      <c r="A312">
        <v>310</v>
      </c>
      <c r="B312" t="s">
        <v>165</v>
      </c>
      <c r="C312" t="s">
        <v>7</v>
      </c>
      <c r="D312" t="s">
        <v>119</v>
      </c>
      <c r="E312" t="s">
        <v>244</v>
      </c>
      <c r="F312" t="s">
        <v>10</v>
      </c>
      <c r="G312" s="3">
        <f t="shared" ca="1" si="4"/>
        <v>10676</v>
      </c>
    </row>
    <row r="313" spans="1:7" x14ac:dyDescent="0.3">
      <c r="A313">
        <v>311</v>
      </c>
      <c r="B313" t="s">
        <v>165</v>
      </c>
      <c r="C313" t="s">
        <v>19</v>
      </c>
      <c r="D313" t="s">
        <v>19</v>
      </c>
      <c r="E313" t="s">
        <v>19</v>
      </c>
      <c r="F313" t="s">
        <v>19</v>
      </c>
      <c r="G313" s="3">
        <f t="shared" ca="1" si="4"/>
        <v>7847</v>
      </c>
    </row>
    <row r="314" spans="1:7" x14ac:dyDescent="0.3">
      <c r="A314">
        <v>312</v>
      </c>
      <c r="B314" t="s">
        <v>165</v>
      </c>
      <c r="C314" t="s">
        <v>13</v>
      </c>
      <c r="D314" t="s">
        <v>119</v>
      </c>
      <c r="E314" t="s">
        <v>120</v>
      </c>
      <c r="F314" t="s">
        <v>10</v>
      </c>
      <c r="G314" s="3">
        <f t="shared" ca="1" si="4"/>
        <v>9435</v>
      </c>
    </row>
    <row r="315" spans="1:7" x14ac:dyDescent="0.3">
      <c r="A315">
        <v>313</v>
      </c>
      <c r="B315" t="s">
        <v>165</v>
      </c>
      <c r="C315" t="s">
        <v>24</v>
      </c>
      <c r="D315" t="s">
        <v>16</v>
      </c>
      <c r="E315" t="s">
        <v>246</v>
      </c>
      <c r="F315" t="s">
        <v>10</v>
      </c>
      <c r="G315" s="3">
        <f t="shared" ca="1" si="4"/>
        <v>8716</v>
      </c>
    </row>
    <row r="316" spans="1:7" x14ac:dyDescent="0.3">
      <c r="A316">
        <v>314</v>
      </c>
      <c r="B316" t="s">
        <v>165</v>
      </c>
      <c r="C316" t="s">
        <v>13</v>
      </c>
      <c r="D316" t="s">
        <v>247</v>
      </c>
      <c r="E316" t="s">
        <v>248</v>
      </c>
      <c r="F316" t="s">
        <v>10</v>
      </c>
      <c r="G316" s="3">
        <f t="shared" ca="1" si="4"/>
        <v>8905</v>
      </c>
    </row>
    <row r="317" spans="1:7" x14ac:dyDescent="0.3">
      <c r="A317">
        <v>315</v>
      </c>
      <c r="B317" t="s">
        <v>165</v>
      </c>
      <c r="C317" t="s">
        <v>13</v>
      </c>
      <c r="D317" t="s">
        <v>249</v>
      </c>
      <c r="E317" t="s">
        <v>250</v>
      </c>
      <c r="F317" t="s">
        <v>10</v>
      </c>
      <c r="G317" s="3">
        <f t="shared" ca="1" si="4"/>
        <v>8148</v>
      </c>
    </row>
    <row r="318" spans="1:7" x14ac:dyDescent="0.3">
      <c r="A318">
        <v>316</v>
      </c>
      <c r="B318" t="s">
        <v>165</v>
      </c>
      <c r="C318" t="s">
        <v>13</v>
      </c>
      <c r="D318" t="s">
        <v>251</v>
      </c>
      <c r="E318" t="s">
        <v>9</v>
      </c>
      <c r="F318" t="s">
        <v>10</v>
      </c>
      <c r="G318" s="3">
        <f t="shared" ca="1" si="4"/>
        <v>9040</v>
      </c>
    </row>
    <row r="319" spans="1:7" x14ac:dyDescent="0.3">
      <c r="A319">
        <v>317</v>
      </c>
      <c r="B319" t="s">
        <v>165</v>
      </c>
      <c r="C319" t="s">
        <v>13</v>
      </c>
      <c r="D319" t="s">
        <v>247</v>
      </c>
      <c r="E319" t="s">
        <v>248</v>
      </c>
      <c r="F319" t="s">
        <v>10</v>
      </c>
      <c r="G319" s="3">
        <f t="shared" ca="1" si="4"/>
        <v>6520</v>
      </c>
    </row>
    <row r="320" spans="1:7" x14ac:dyDescent="0.3">
      <c r="A320">
        <v>318</v>
      </c>
      <c r="B320" t="s">
        <v>165</v>
      </c>
      <c r="C320" t="s">
        <v>7</v>
      </c>
      <c r="D320" t="s">
        <v>252</v>
      </c>
      <c r="E320" t="s">
        <v>19</v>
      </c>
      <c r="F320" t="s">
        <v>19</v>
      </c>
      <c r="G320" s="3">
        <f t="shared" ca="1" si="4"/>
        <v>7167</v>
      </c>
    </row>
    <row r="321" spans="1:7" x14ac:dyDescent="0.3">
      <c r="A321">
        <v>319</v>
      </c>
      <c r="B321" t="s">
        <v>165</v>
      </c>
      <c r="C321" t="s">
        <v>7</v>
      </c>
      <c r="D321" t="s">
        <v>22</v>
      </c>
      <c r="E321" t="s">
        <v>253</v>
      </c>
      <c r="F321" t="s">
        <v>31</v>
      </c>
      <c r="G321" s="3">
        <f t="shared" ca="1" si="4"/>
        <v>11492</v>
      </c>
    </row>
    <row r="322" spans="1:7" x14ac:dyDescent="0.3">
      <c r="A322">
        <v>320</v>
      </c>
      <c r="B322" t="s">
        <v>165</v>
      </c>
      <c r="C322" t="s">
        <v>7</v>
      </c>
      <c r="D322" t="s">
        <v>212</v>
      </c>
      <c r="E322" t="s">
        <v>213</v>
      </c>
      <c r="F322" t="s">
        <v>10</v>
      </c>
      <c r="G322" s="3">
        <f t="shared" ref="G322:G385" ca="1" si="5">RANDBETWEEN(6500,12000)</f>
        <v>10945</v>
      </c>
    </row>
    <row r="323" spans="1:7" x14ac:dyDescent="0.3">
      <c r="A323">
        <v>321</v>
      </c>
      <c r="B323" t="s">
        <v>165</v>
      </c>
      <c r="C323" t="s">
        <v>7</v>
      </c>
      <c r="D323" t="s">
        <v>8</v>
      </c>
      <c r="E323" t="s">
        <v>254</v>
      </c>
      <c r="F323" t="s">
        <v>10</v>
      </c>
      <c r="G323" s="3">
        <f t="shared" ca="1" si="5"/>
        <v>7640</v>
      </c>
    </row>
    <row r="324" spans="1:7" x14ac:dyDescent="0.3">
      <c r="A324">
        <v>322</v>
      </c>
      <c r="B324" t="s">
        <v>165</v>
      </c>
      <c r="C324" t="s">
        <v>24</v>
      </c>
      <c r="D324" t="s">
        <v>255</v>
      </c>
      <c r="E324" t="s">
        <v>153</v>
      </c>
      <c r="F324" t="s">
        <v>10</v>
      </c>
      <c r="G324" s="3">
        <f t="shared" ca="1" si="5"/>
        <v>10833</v>
      </c>
    </row>
    <row r="325" spans="1:7" x14ac:dyDescent="0.3">
      <c r="A325">
        <v>323</v>
      </c>
      <c r="B325" t="s">
        <v>165</v>
      </c>
      <c r="C325" t="s">
        <v>7</v>
      </c>
      <c r="D325" t="s">
        <v>256</v>
      </c>
      <c r="E325" t="s">
        <v>19</v>
      </c>
      <c r="F325" t="s">
        <v>10</v>
      </c>
      <c r="G325" s="3">
        <f t="shared" ca="1" si="5"/>
        <v>7732</v>
      </c>
    </row>
    <row r="326" spans="1:7" x14ac:dyDescent="0.3">
      <c r="A326">
        <v>324</v>
      </c>
      <c r="B326" t="s">
        <v>165</v>
      </c>
      <c r="C326" t="s">
        <v>7</v>
      </c>
      <c r="D326" t="s">
        <v>257</v>
      </c>
      <c r="E326" t="s">
        <v>153</v>
      </c>
      <c r="F326" t="s">
        <v>10</v>
      </c>
      <c r="G326" s="3">
        <f t="shared" ca="1" si="5"/>
        <v>6706</v>
      </c>
    </row>
    <row r="327" spans="1:7" x14ac:dyDescent="0.3">
      <c r="A327">
        <v>325</v>
      </c>
      <c r="B327" t="s">
        <v>165</v>
      </c>
      <c r="C327" t="s">
        <v>24</v>
      </c>
      <c r="D327" t="s">
        <v>16</v>
      </c>
      <c r="E327" t="s">
        <v>153</v>
      </c>
      <c r="F327" t="s">
        <v>10</v>
      </c>
      <c r="G327" s="3">
        <f t="shared" ca="1" si="5"/>
        <v>11881</v>
      </c>
    </row>
    <row r="328" spans="1:7" x14ac:dyDescent="0.3">
      <c r="A328">
        <v>326</v>
      </c>
      <c r="B328" t="s">
        <v>165</v>
      </c>
      <c r="C328" t="s">
        <v>24</v>
      </c>
      <c r="D328" t="s">
        <v>258</v>
      </c>
      <c r="E328" t="s">
        <v>85</v>
      </c>
      <c r="F328" t="s">
        <v>10</v>
      </c>
      <c r="G328" s="3">
        <f t="shared" ca="1" si="5"/>
        <v>8988</v>
      </c>
    </row>
    <row r="329" spans="1:7" x14ac:dyDescent="0.3">
      <c r="A329">
        <v>327</v>
      </c>
      <c r="B329" t="s">
        <v>165</v>
      </c>
      <c r="C329" t="s">
        <v>24</v>
      </c>
      <c r="D329" t="s">
        <v>177</v>
      </c>
      <c r="E329" t="s">
        <v>19</v>
      </c>
      <c r="F329" t="s">
        <v>10</v>
      </c>
      <c r="G329" s="3">
        <f t="shared" ca="1" si="5"/>
        <v>9509</v>
      </c>
    </row>
    <row r="330" spans="1:7" x14ac:dyDescent="0.3">
      <c r="A330">
        <v>328</v>
      </c>
      <c r="B330" t="s">
        <v>165</v>
      </c>
      <c r="C330" t="s">
        <v>7</v>
      </c>
      <c r="D330" t="s">
        <v>170</v>
      </c>
      <c r="E330" t="s">
        <v>48</v>
      </c>
      <c r="F330" t="s">
        <v>10</v>
      </c>
      <c r="G330" s="3">
        <f t="shared" ca="1" si="5"/>
        <v>9181</v>
      </c>
    </row>
    <row r="331" spans="1:7" x14ac:dyDescent="0.3">
      <c r="A331">
        <v>329</v>
      </c>
      <c r="B331" t="s">
        <v>165</v>
      </c>
      <c r="C331" t="s">
        <v>24</v>
      </c>
      <c r="D331" t="s">
        <v>259</v>
      </c>
      <c r="E331" t="s">
        <v>248</v>
      </c>
      <c r="F331" t="s">
        <v>10</v>
      </c>
      <c r="G331" s="3">
        <f t="shared" ca="1" si="5"/>
        <v>8104</v>
      </c>
    </row>
    <row r="332" spans="1:7" x14ac:dyDescent="0.3">
      <c r="A332">
        <v>330</v>
      </c>
      <c r="B332" t="s">
        <v>165</v>
      </c>
      <c r="C332" t="s">
        <v>7</v>
      </c>
      <c r="D332" t="s">
        <v>114</v>
      </c>
      <c r="E332" t="s">
        <v>19</v>
      </c>
      <c r="F332" t="s">
        <v>10</v>
      </c>
      <c r="G332" s="3">
        <f t="shared" ca="1" si="5"/>
        <v>9500</v>
      </c>
    </row>
    <row r="333" spans="1:7" x14ac:dyDescent="0.3">
      <c r="A333">
        <v>331</v>
      </c>
      <c r="B333" t="s">
        <v>165</v>
      </c>
      <c r="C333" t="s">
        <v>13</v>
      </c>
      <c r="D333" t="s">
        <v>260</v>
      </c>
      <c r="E333" t="s">
        <v>261</v>
      </c>
      <c r="F333" t="s">
        <v>10</v>
      </c>
      <c r="G333" s="3">
        <f t="shared" ca="1" si="5"/>
        <v>10132</v>
      </c>
    </row>
    <row r="334" spans="1:7" x14ac:dyDescent="0.3">
      <c r="A334">
        <v>332</v>
      </c>
      <c r="B334" t="s">
        <v>165</v>
      </c>
      <c r="C334" t="s">
        <v>7</v>
      </c>
      <c r="D334" t="s">
        <v>262</v>
      </c>
      <c r="E334" t="s">
        <v>26</v>
      </c>
      <c r="F334" t="s">
        <v>10</v>
      </c>
      <c r="G334" s="3">
        <f t="shared" ca="1" si="5"/>
        <v>11625</v>
      </c>
    </row>
    <row r="335" spans="1:7" x14ac:dyDescent="0.3">
      <c r="A335">
        <v>333</v>
      </c>
      <c r="B335" t="s">
        <v>165</v>
      </c>
      <c r="C335" t="s">
        <v>24</v>
      </c>
      <c r="D335" t="s">
        <v>97</v>
      </c>
      <c r="E335" t="s">
        <v>225</v>
      </c>
      <c r="F335" t="s">
        <v>10</v>
      </c>
      <c r="G335" s="3">
        <f t="shared" ca="1" si="5"/>
        <v>8496</v>
      </c>
    </row>
    <row r="336" spans="1:7" x14ac:dyDescent="0.3">
      <c r="A336">
        <v>334</v>
      </c>
      <c r="B336" t="s">
        <v>165</v>
      </c>
      <c r="C336" t="s">
        <v>7</v>
      </c>
      <c r="D336" t="s">
        <v>172</v>
      </c>
      <c r="E336" t="s">
        <v>19</v>
      </c>
      <c r="F336" t="s">
        <v>10</v>
      </c>
      <c r="G336" s="3">
        <f t="shared" ca="1" si="5"/>
        <v>10161</v>
      </c>
    </row>
    <row r="337" spans="1:7" x14ac:dyDescent="0.3">
      <c r="A337">
        <v>335</v>
      </c>
      <c r="B337" t="s">
        <v>165</v>
      </c>
      <c r="C337" t="s">
        <v>13</v>
      </c>
      <c r="D337" t="s">
        <v>19</v>
      </c>
      <c r="E337" t="s">
        <v>19</v>
      </c>
      <c r="F337" t="s">
        <v>19</v>
      </c>
      <c r="G337" s="3">
        <f t="shared" ca="1" si="5"/>
        <v>7713</v>
      </c>
    </row>
    <row r="338" spans="1:7" x14ac:dyDescent="0.3">
      <c r="A338">
        <v>336</v>
      </c>
      <c r="B338" t="s">
        <v>165</v>
      </c>
      <c r="C338" t="s">
        <v>13</v>
      </c>
      <c r="D338" t="s">
        <v>169</v>
      </c>
      <c r="E338" t="s">
        <v>48</v>
      </c>
      <c r="F338" t="s">
        <v>10</v>
      </c>
      <c r="G338" s="3">
        <f t="shared" ca="1" si="5"/>
        <v>7005</v>
      </c>
    </row>
    <row r="339" spans="1:7" x14ac:dyDescent="0.3">
      <c r="A339">
        <v>337</v>
      </c>
      <c r="B339" t="s">
        <v>165</v>
      </c>
      <c r="C339" t="s">
        <v>13</v>
      </c>
      <c r="D339" t="s">
        <v>263</v>
      </c>
      <c r="E339" t="s">
        <v>264</v>
      </c>
      <c r="F339" t="s">
        <v>10</v>
      </c>
      <c r="G339" s="3">
        <f t="shared" ca="1" si="5"/>
        <v>10699</v>
      </c>
    </row>
    <row r="340" spans="1:7" x14ac:dyDescent="0.3">
      <c r="A340">
        <v>338</v>
      </c>
      <c r="B340" t="s">
        <v>165</v>
      </c>
      <c r="C340" t="s">
        <v>24</v>
      </c>
      <c r="D340" t="s">
        <v>167</v>
      </c>
      <c r="E340" t="s">
        <v>168</v>
      </c>
      <c r="F340" t="s">
        <v>10</v>
      </c>
      <c r="G340" s="3">
        <f t="shared" ca="1" si="5"/>
        <v>10213</v>
      </c>
    </row>
    <row r="341" spans="1:7" x14ac:dyDescent="0.3">
      <c r="A341">
        <v>339</v>
      </c>
      <c r="B341" t="s">
        <v>165</v>
      </c>
      <c r="C341" t="s">
        <v>13</v>
      </c>
      <c r="D341" t="s">
        <v>265</v>
      </c>
      <c r="E341" t="s">
        <v>19</v>
      </c>
      <c r="F341" t="s">
        <v>10</v>
      </c>
      <c r="G341" s="3">
        <f t="shared" ca="1" si="5"/>
        <v>11686</v>
      </c>
    </row>
    <row r="342" spans="1:7" x14ac:dyDescent="0.3">
      <c r="A342">
        <v>340</v>
      </c>
      <c r="B342" t="s">
        <v>165</v>
      </c>
      <c r="C342" t="s">
        <v>7</v>
      </c>
      <c r="D342" t="s">
        <v>266</v>
      </c>
      <c r="E342" t="s">
        <v>19</v>
      </c>
      <c r="F342" t="s">
        <v>31</v>
      </c>
      <c r="G342" s="3">
        <f t="shared" ca="1" si="5"/>
        <v>10938</v>
      </c>
    </row>
    <row r="343" spans="1:7" x14ac:dyDescent="0.3">
      <c r="A343">
        <v>341</v>
      </c>
      <c r="B343" t="s">
        <v>165</v>
      </c>
      <c r="C343" t="s">
        <v>24</v>
      </c>
      <c r="D343" t="s">
        <v>267</v>
      </c>
      <c r="E343" t="s">
        <v>268</v>
      </c>
      <c r="F343" t="s">
        <v>10</v>
      </c>
      <c r="G343" s="3">
        <f t="shared" ca="1" si="5"/>
        <v>9910</v>
      </c>
    </row>
    <row r="344" spans="1:7" x14ac:dyDescent="0.3">
      <c r="A344">
        <v>342</v>
      </c>
      <c r="B344" t="s">
        <v>165</v>
      </c>
      <c r="C344" t="s">
        <v>13</v>
      </c>
      <c r="D344" t="s">
        <v>79</v>
      </c>
      <c r="E344" t="s">
        <v>19</v>
      </c>
      <c r="F344" t="s">
        <v>19</v>
      </c>
      <c r="G344" s="3">
        <f t="shared" ca="1" si="5"/>
        <v>9167</v>
      </c>
    </row>
    <row r="345" spans="1:7" x14ac:dyDescent="0.3">
      <c r="A345">
        <v>343</v>
      </c>
      <c r="B345" t="s">
        <v>165</v>
      </c>
      <c r="C345" t="s">
        <v>7</v>
      </c>
      <c r="D345" t="s">
        <v>176</v>
      </c>
      <c r="E345" t="s">
        <v>19</v>
      </c>
      <c r="F345" t="s">
        <v>10</v>
      </c>
      <c r="G345" s="3">
        <f t="shared" ca="1" si="5"/>
        <v>8306</v>
      </c>
    </row>
    <row r="346" spans="1:7" x14ac:dyDescent="0.3">
      <c r="A346">
        <v>344</v>
      </c>
      <c r="B346" t="s">
        <v>165</v>
      </c>
      <c r="C346" t="s">
        <v>19</v>
      </c>
      <c r="D346" t="s">
        <v>269</v>
      </c>
      <c r="E346" t="s">
        <v>270</v>
      </c>
      <c r="F346" t="s">
        <v>10</v>
      </c>
      <c r="G346" s="3">
        <f t="shared" ca="1" si="5"/>
        <v>6588</v>
      </c>
    </row>
    <row r="347" spans="1:7" x14ac:dyDescent="0.3">
      <c r="A347">
        <v>345</v>
      </c>
      <c r="B347" t="s">
        <v>271</v>
      </c>
      <c r="C347" t="s">
        <v>24</v>
      </c>
      <c r="D347" t="s">
        <v>97</v>
      </c>
      <c r="E347" t="s">
        <v>206</v>
      </c>
      <c r="F347" t="s">
        <v>10</v>
      </c>
      <c r="G347" s="3">
        <f t="shared" ca="1" si="5"/>
        <v>9592</v>
      </c>
    </row>
    <row r="348" spans="1:7" x14ac:dyDescent="0.3">
      <c r="A348">
        <v>346</v>
      </c>
      <c r="B348" t="s">
        <v>271</v>
      </c>
      <c r="C348" t="s">
        <v>24</v>
      </c>
      <c r="D348" t="s">
        <v>97</v>
      </c>
      <c r="E348" t="s">
        <v>206</v>
      </c>
      <c r="F348" t="s">
        <v>10</v>
      </c>
      <c r="G348" s="3">
        <f t="shared" ca="1" si="5"/>
        <v>8307</v>
      </c>
    </row>
    <row r="349" spans="1:7" x14ac:dyDescent="0.3">
      <c r="A349">
        <v>347</v>
      </c>
      <c r="B349" t="s">
        <v>271</v>
      </c>
      <c r="C349" t="s">
        <v>13</v>
      </c>
      <c r="D349" t="s">
        <v>169</v>
      </c>
      <c r="E349" t="s">
        <v>132</v>
      </c>
      <c r="F349" t="s">
        <v>10</v>
      </c>
      <c r="G349" s="3">
        <f t="shared" ca="1" si="5"/>
        <v>8539</v>
      </c>
    </row>
    <row r="350" spans="1:7" x14ac:dyDescent="0.3">
      <c r="A350">
        <v>348</v>
      </c>
      <c r="B350" t="s">
        <v>271</v>
      </c>
      <c r="C350" t="s">
        <v>7</v>
      </c>
      <c r="D350" t="s">
        <v>227</v>
      </c>
      <c r="E350" t="s">
        <v>19</v>
      </c>
      <c r="F350" t="s">
        <v>10</v>
      </c>
      <c r="G350" s="3">
        <f t="shared" ca="1" si="5"/>
        <v>7236</v>
      </c>
    </row>
    <row r="351" spans="1:7" x14ac:dyDescent="0.3">
      <c r="A351">
        <v>349</v>
      </c>
      <c r="B351" t="s">
        <v>271</v>
      </c>
      <c r="C351" t="s">
        <v>13</v>
      </c>
      <c r="D351" t="s">
        <v>185</v>
      </c>
      <c r="E351" t="s">
        <v>126</v>
      </c>
      <c r="F351" t="s">
        <v>10</v>
      </c>
      <c r="G351" s="3">
        <f t="shared" ca="1" si="5"/>
        <v>9288</v>
      </c>
    </row>
    <row r="352" spans="1:7" x14ac:dyDescent="0.3">
      <c r="A352">
        <v>350</v>
      </c>
      <c r="B352" t="s">
        <v>271</v>
      </c>
      <c r="C352" t="s">
        <v>13</v>
      </c>
      <c r="D352" t="s">
        <v>140</v>
      </c>
      <c r="E352" t="s">
        <v>272</v>
      </c>
      <c r="F352" t="s">
        <v>10</v>
      </c>
      <c r="G352" s="3">
        <f t="shared" ca="1" si="5"/>
        <v>7788</v>
      </c>
    </row>
    <row r="353" spans="1:7" x14ac:dyDescent="0.3">
      <c r="A353">
        <v>351</v>
      </c>
      <c r="B353" t="s">
        <v>271</v>
      </c>
      <c r="C353" t="s">
        <v>7</v>
      </c>
      <c r="D353" t="s">
        <v>205</v>
      </c>
      <c r="E353" t="s">
        <v>48</v>
      </c>
      <c r="F353" t="s">
        <v>10</v>
      </c>
      <c r="G353" s="3">
        <f t="shared" ca="1" si="5"/>
        <v>8531</v>
      </c>
    </row>
    <row r="354" spans="1:7" x14ac:dyDescent="0.3">
      <c r="A354">
        <v>352</v>
      </c>
      <c r="B354" t="s">
        <v>271</v>
      </c>
      <c r="C354" t="s">
        <v>19</v>
      </c>
      <c r="D354" t="s">
        <v>19</v>
      </c>
      <c r="E354" t="s">
        <v>19</v>
      </c>
      <c r="F354" t="s">
        <v>19</v>
      </c>
      <c r="G354" s="3">
        <f t="shared" ca="1" si="5"/>
        <v>9790</v>
      </c>
    </row>
    <row r="355" spans="1:7" x14ac:dyDescent="0.3">
      <c r="A355">
        <v>353</v>
      </c>
      <c r="B355" t="s">
        <v>271</v>
      </c>
      <c r="C355" t="s">
        <v>7</v>
      </c>
      <c r="D355" t="s">
        <v>273</v>
      </c>
      <c r="E355" t="s">
        <v>60</v>
      </c>
      <c r="F355" t="s">
        <v>10</v>
      </c>
      <c r="G355" s="3">
        <f t="shared" ca="1" si="5"/>
        <v>9616</v>
      </c>
    </row>
    <row r="356" spans="1:7" x14ac:dyDescent="0.3">
      <c r="A356">
        <v>354</v>
      </c>
      <c r="B356" t="s">
        <v>271</v>
      </c>
      <c r="C356" t="s">
        <v>7</v>
      </c>
      <c r="D356" t="s">
        <v>19</v>
      </c>
      <c r="E356" t="s">
        <v>226</v>
      </c>
      <c r="F356" t="s">
        <v>10</v>
      </c>
      <c r="G356" s="3">
        <f t="shared" ca="1" si="5"/>
        <v>11220</v>
      </c>
    </row>
    <row r="357" spans="1:7" x14ac:dyDescent="0.3">
      <c r="A357">
        <v>355</v>
      </c>
      <c r="B357" t="s">
        <v>271</v>
      </c>
      <c r="C357" t="s">
        <v>24</v>
      </c>
      <c r="D357" t="s">
        <v>97</v>
      </c>
      <c r="E357" t="s">
        <v>206</v>
      </c>
      <c r="F357" t="s">
        <v>10</v>
      </c>
      <c r="G357" s="3">
        <f t="shared" ca="1" si="5"/>
        <v>7484</v>
      </c>
    </row>
    <row r="358" spans="1:7" x14ac:dyDescent="0.3">
      <c r="A358">
        <v>356</v>
      </c>
      <c r="B358" t="s">
        <v>271</v>
      </c>
      <c r="C358" t="s">
        <v>24</v>
      </c>
      <c r="D358" t="s">
        <v>97</v>
      </c>
      <c r="E358" t="s">
        <v>206</v>
      </c>
      <c r="F358" t="s">
        <v>10</v>
      </c>
      <c r="G358" s="3">
        <f t="shared" ca="1" si="5"/>
        <v>10615</v>
      </c>
    </row>
    <row r="359" spans="1:7" x14ac:dyDescent="0.3">
      <c r="A359">
        <v>357</v>
      </c>
      <c r="B359" t="s">
        <v>271</v>
      </c>
      <c r="C359" t="s">
        <v>13</v>
      </c>
      <c r="D359" t="s">
        <v>169</v>
      </c>
      <c r="E359" t="s">
        <v>132</v>
      </c>
      <c r="F359" t="s">
        <v>10</v>
      </c>
      <c r="G359" s="3">
        <f t="shared" ca="1" si="5"/>
        <v>9385</v>
      </c>
    </row>
    <row r="360" spans="1:7" x14ac:dyDescent="0.3">
      <c r="A360">
        <v>358</v>
      </c>
      <c r="B360" t="s">
        <v>271</v>
      </c>
      <c r="C360" t="s">
        <v>13</v>
      </c>
      <c r="D360" t="s">
        <v>185</v>
      </c>
      <c r="E360" t="s">
        <v>126</v>
      </c>
      <c r="F360" t="s">
        <v>10</v>
      </c>
      <c r="G360" s="3">
        <f t="shared" ca="1" si="5"/>
        <v>7395</v>
      </c>
    </row>
    <row r="361" spans="1:7" x14ac:dyDescent="0.3">
      <c r="A361">
        <v>359</v>
      </c>
      <c r="B361" t="s">
        <v>271</v>
      </c>
      <c r="C361" t="s">
        <v>7</v>
      </c>
      <c r="D361" t="s">
        <v>227</v>
      </c>
      <c r="E361" t="s">
        <v>19</v>
      </c>
      <c r="F361" t="s">
        <v>10</v>
      </c>
      <c r="G361" s="3">
        <f t="shared" ca="1" si="5"/>
        <v>10551</v>
      </c>
    </row>
    <row r="362" spans="1:7" x14ac:dyDescent="0.3">
      <c r="A362">
        <v>360</v>
      </c>
      <c r="B362" t="s">
        <v>271</v>
      </c>
      <c r="C362" t="s">
        <v>13</v>
      </c>
      <c r="D362" t="s">
        <v>185</v>
      </c>
      <c r="E362" t="s">
        <v>126</v>
      </c>
      <c r="F362" t="s">
        <v>10</v>
      </c>
      <c r="G362" s="3">
        <f t="shared" ca="1" si="5"/>
        <v>8017</v>
      </c>
    </row>
    <row r="363" spans="1:7" x14ac:dyDescent="0.3">
      <c r="A363">
        <v>361</v>
      </c>
      <c r="B363" t="s">
        <v>271</v>
      </c>
      <c r="C363" t="s">
        <v>13</v>
      </c>
      <c r="D363" t="s">
        <v>140</v>
      </c>
      <c r="E363" t="s">
        <v>272</v>
      </c>
      <c r="F363" t="s">
        <v>10</v>
      </c>
      <c r="G363" s="3">
        <f t="shared" ca="1" si="5"/>
        <v>7234</v>
      </c>
    </row>
    <row r="364" spans="1:7" x14ac:dyDescent="0.3">
      <c r="A364">
        <v>362</v>
      </c>
      <c r="B364" t="s">
        <v>271</v>
      </c>
      <c r="C364" t="s">
        <v>7</v>
      </c>
      <c r="D364" t="s">
        <v>205</v>
      </c>
      <c r="E364" t="s">
        <v>48</v>
      </c>
      <c r="F364" t="s">
        <v>10</v>
      </c>
      <c r="G364" s="3">
        <f t="shared" ca="1" si="5"/>
        <v>7101</v>
      </c>
    </row>
    <row r="365" spans="1:7" x14ac:dyDescent="0.3">
      <c r="A365">
        <v>363</v>
      </c>
      <c r="B365" t="s">
        <v>271</v>
      </c>
      <c r="C365" t="s">
        <v>7</v>
      </c>
      <c r="D365" t="s">
        <v>273</v>
      </c>
      <c r="E365" t="s">
        <v>60</v>
      </c>
      <c r="F365" t="s">
        <v>10</v>
      </c>
      <c r="G365" s="3">
        <f t="shared" ca="1" si="5"/>
        <v>7569</v>
      </c>
    </row>
    <row r="366" spans="1:7" x14ac:dyDescent="0.3">
      <c r="A366">
        <v>364</v>
      </c>
      <c r="B366" t="s">
        <v>271</v>
      </c>
      <c r="C366" t="s">
        <v>13</v>
      </c>
      <c r="D366" t="s">
        <v>19</v>
      </c>
      <c r="E366" t="s">
        <v>19</v>
      </c>
      <c r="F366" t="s">
        <v>10</v>
      </c>
      <c r="G366" s="3">
        <f t="shared" ca="1" si="5"/>
        <v>10089</v>
      </c>
    </row>
    <row r="367" spans="1:7" x14ac:dyDescent="0.3">
      <c r="A367">
        <v>365</v>
      </c>
      <c r="B367" t="s">
        <v>271</v>
      </c>
      <c r="C367" t="s">
        <v>19</v>
      </c>
      <c r="D367" t="s">
        <v>19</v>
      </c>
      <c r="E367" t="s">
        <v>19</v>
      </c>
      <c r="F367" t="s">
        <v>19</v>
      </c>
      <c r="G367" s="3">
        <f t="shared" ca="1" si="5"/>
        <v>9224</v>
      </c>
    </row>
    <row r="368" spans="1:7" x14ac:dyDescent="0.3">
      <c r="A368">
        <v>366</v>
      </c>
      <c r="B368" t="s">
        <v>271</v>
      </c>
      <c r="C368" t="s">
        <v>24</v>
      </c>
      <c r="D368" t="s">
        <v>97</v>
      </c>
      <c r="E368" t="s">
        <v>206</v>
      </c>
      <c r="F368" t="s">
        <v>10</v>
      </c>
      <c r="G368" s="3">
        <f t="shared" ca="1" si="5"/>
        <v>9490</v>
      </c>
    </row>
    <row r="369" spans="1:7" x14ac:dyDescent="0.3">
      <c r="A369">
        <v>367</v>
      </c>
      <c r="B369" t="s">
        <v>271</v>
      </c>
      <c r="C369" t="s">
        <v>13</v>
      </c>
      <c r="D369" t="s">
        <v>274</v>
      </c>
      <c r="E369" t="s">
        <v>275</v>
      </c>
      <c r="F369" t="s">
        <v>10</v>
      </c>
      <c r="G369" s="3">
        <f t="shared" ca="1" si="5"/>
        <v>8265</v>
      </c>
    </row>
    <row r="370" spans="1:7" x14ac:dyDescent="0.3">
      <c r="A370">
        <v>368</v>
      </c>
      <c r="B370" t="s">
        <v>271</v>
      </c>
      <c r="C370" t="s">
        <v>13</v>
      </c>
      <c r="D370" t="s">
        <v>95</v>
      </c>
      <c r="E370" t="s">
        <v>276</v>
      </c>
      <c r="F370" t="s">
        <v>10</v>
      </c>
      <c r="G370" s="3">
        <f t="shared" ca="1" si="5"/>
        <v>6807</v>
      </c>
    </row>
    <row r="371" spans="1:7" x14ac:dyDescent="0.3">
      <c r="A371">
        <v>369</v>
      </c>
      <c r="B371" t="s">
        <v>271</v>
      </c>
      <c r="C371" t="s">
        <v>13</v>
      </c>
      <c r="D371" t="s">
        <v>169</v>
      </c>
      <c r="E371" t="s">
        <v>48</v>
      </c>
      <c r="F371" t="s">
        <v>10</v>
      </c>
      <c r="G371" s="3">
        <f t="shared" ca="1" si="5"/>
        <v>7088</v>
      </c>
    </row>
    <row r="372" spans="1:7" x14ac:dyDescent="0.3">
      <c r="A372">
        <v>370</v>
      </c>
      <c r="B372" t="s">
        <v>271</v>
      </c>
      <c r="C372" t="s">
        <v>13</v>
      </c>
      <c r="D372" t="s">
        <v>115</v>
      </c>
      <c r="E372" t="s">
        <v>85</v>
      </c>
      <c r="F372" t="s">
        <v>10</v>
      </c>
      <c r="G372" s="3">
        <f t="shared" ca="1" si="5"/>
        <v>9608</v>
      </c>
    </row>
    <row r="373" spans="1:7" x14ac:dyDescent="0.3">
      <c r="A373">
        <v>371</v>
      </c>
      <c r="B373" t="s">
        <v>271</v>
      </c>
      <c r="C373" t="s">
        <v>7</v>
      </c>
      <c r="D373" t="s">
        <v>151</v>
      </c>
      <c r="E373" t="s">
        <v>152</v>
      </c>
      <c r="F373" t="s">
        <v>10</v>
      </c>
      <c r="G373" s="3">
        <f t="shared" ca="1" si="5"/>
        <v>11925</v>
      </c>
    </row>
    <row r="374" spans="1:7" x14ac:dyDescent="0.3">
      <c r="A374">
        <v>372</v>
      </c>
      <c r="B374" t="s">
        <v>271</v>
      </c>
      <c r="C374" t="s">
        <v>13</v>
      </c>
      <c r="D374" t="s">
        <v>107</v>
      </c>
      <c r="E374" t="s">
        <v>108</v>
      </c>
      <c r="F374" t="s">
        <v>10</v>
      </c>
      <c r="G374" s="3">
        <f t="shared" ca="1" si="5"/>
        <v>11247</v>
      </c>
    </row>
    <row r="375" spans="1:7" x14ac:dyDescent="0.3">
      <c r="A375">
        <v>373</v>
      </c>
      <c r="B375" t="s">
        <v>271</v>
      </c>
      <c r="C375" t="s">
        <v>13</v>
      </c>
      <c r="D375" t="s">
        <v>277</v>
      </c>
      <c r="E375" t="s">
        <v>132</v>
      </c>
      <c r="F375" t="s">
        <v>10</v>
      </c>
      <c r="G375" s="3">
        <f t="shared" ca="1" si="5"/>
        <v>10033</v>
      </c>
    </row>
    <row r="376" spans="1:7" x14ac:dyDescent="0.3">
      <c r="A376">
        <v>374</v>
      </c>
      <c r="B376" t="s">
        <v>271</v>
      </c>
      <c r="C376" t="s">
        <v>24</v>
      </c>
      <c r="D376" t="s">
        <v>16</v>
      </c>
      <c r="E376" t="s">
        <v>278</v>
      </c>
      <c r="F376" t="s">
        <v>10</v>
      </c>
      <c r="G376" s="3">
        <f t="shared" ca="1" si="5"/>
        <v>9714</v>
      </c>
    </row>
    <row r="377" spans="1:7" x14ac:dyDescent="0.3">
      <c r="A377">
        <v>375</v>
      </c>
      <c r="B377" t="s">
        <v>271</v>
      </c>
      <c r="C377" t="s">
        <v>13</v>
      </c>
      <c r="D377" t="s">
        <v>279</v>
      </c>
      <c r="E377" t="s">
        <v>19</v>
      </c>
      <c r="F377" t="s">
        <v>10</v>
      </c>
      <c r="G377" s="3">
        <f t="shared" ca="1" si="5"/>
        <v>7264</v>
      </c>
    </row>
    <row r="378" spans="1:7" x14ac:dyDescent="0.3">
      <c r="A378">
        <v>376</v>
      </c>
      <c r="B378" t="s">
        <v>271</v>
      </c>
      <c r="C378" t="s">
        <v>7</v>
      </c>
      <c r="D378" t="s">
        <v>105</v>
      </c>
      <c r="E378" t="s">
        <v>226</v>
      </c>
      <c r="F378" t="s">
        <v>10</v>
      </c>
      <c r="G378" s="3">
        <f t="shared" ca="1" si="5"/>
        <v>7932</v>
      </c>
    </row>
    <row r="379" spans="1:7" x14ac:dyDescent="0.3">
      <c r="A379">
        <v>377</v>
      </c>
      <c r="B379" t="s">
        <v>271</v>
      </c>
      <c r="C379" t="s">
        <v>7</v>
      </c>
      <c r="D379" t="s">
        <v>227</v>
      </c>
      <c r="E379" t="s">
        <v>19</v>
      </c>
      <c r="F379" t="s">
        <v>10</v>
      </c>
      <c r="G379" s="3">
        <f t="shared" ca="1" si="5"/>
        <v>10351</v>
      </c>
    </row>
    <row r="380" spans="1:7" x14ac:dyDescent="0.3">
      <c r="A380">
        <v>378</v>
      </c>
      <c r="B380" t="s">
        <v>271</v>
      </c>
      <c r="C380" t="s">
        <v>7</v>
      </c>
      <c r="D380" t="s">
        <v>200</v>
      </c>
      <c r="E380" t="s">
        <v>126</v>
      </c>
      <c r="F380" t="s">
        <v>19</v>
      </c>
      <c r="G380" s="3">
        <f t="shared" ca="1" si="5"/>
        <v>10487</v>
      </c>
    </row>
    <row r="381" spans="1:7" x14ac:dyDescent="0.3">
      <c r="A381">
        <v>379</v>
      </c>
      <c r="B381" t="s">
        <v>271</v>
      </c>
      <c r="C381" t="s">
        <v>24</v>
      </c>
      <c r="D381" t="s">
        <v>16</v>
      </c>
      <c r="E381" t="s">
        <v>280</v>
      </c>
      <c r="F381" t="s">
        <v>10</v>
      </c>
      <c r="G381" s="3">
        <f t="shared" ca="1" si="5"/>
        <v>7666</v>
      </c>
    </row>
    <row r="382" spans="1:7" x14ac:dyDescent="0.3">
      <c r="A382">
        <v>380</v>
      </c>
      <c r="B382" t="s">
        <v>271</v>
      </c>
      <c r="C382" t="s">
        <v>7</v>
      </c>
      <c r="D382" t="s">
        <v>281</v>
      </c>
      <c r="E382" t="s">
        <v>46</v>
      </c>
      <c r="F382" t="s">
        <v>10</v>
      </c>
      <c r="G382" s="3">
        <f t="shared" ca="1" si="5"/>
        <v>11771</v>
      </c>
    </row>
    <row r="383" spans="1:7" x14ac:dyDescent="0.3">
      <c r="A383">
        <v>381</v>
      </c>
      <c r="B383" t="s">
        <v>271</v>
      </c>
      <c r="C383" t="s">
        <v>13</v>
      </c>
      <c r="D383" t="s">
        <v>97</v>
      </c>
      <c r="E383" t="s">
        <v>101</v>
      </c>
      <c r="F383" t="s">
        <v>10</v>
      </c>
      <c r="G383" s="3">
        <f t="shared" ca="1" si="5"/>
        <v>10285</v>
      </c>
    </row>
    <row r="384" spans="1:7" x14ac:dyDescent="0.3">
      <c r="A384">
        <v>382</v>
      </c>
      <c r="B384" t="s">
        <v>271</v>
      </c>
      <c r="C384" t="s">
        <v>13</v>
      </c>
      <c r="D384" t="s">
        <v>100</v>
      </c>
      <c r="E384" t="s">
        <v>164</v>
      </c>
      <c r="F384" t="s">
        <v>10</v>
      </c>
      <c r="G384" s="3">
        <f t="shared" ca="1" si="5"/>
        <v>10493</v>
      </c>
    </row>
    <row r="385" spans="1:7" x14ac:dyDescent="0.3">
      <c r="A385">
        <v>383</v>
      </c>
      <c r="B385" t="s">
        <v>271</v>
      </c>
      <c r="C385" t="s">
        <v>19</v>
      </c>
      <c r="D385" t="s">
        <v>19</v>
      </c>
      <c r="E385" t="s">
        <v>19</v>
      </c>
      <c r="F385" t="s">
        <v>19</v>
      </c>
      <c r="G385" s="3">
        <f t="shared" ca="1" si="5"/>
        <v>8974</v>
      </c>
    </row>
    <row r="386" spans="1:7" x14ac:dyDescent="0.3">
      <c r="A386">
        <v>384</v>
      </c>
      <c r="B386" t="s">
        <v>271</v>
      </c>
      <c r="C386" t="s">
        <v>13</v>
      </c>
      <c r="D386" t="s">
        <v>16</v>
      </c>
      <c r="E386" t="s">
        <v>206</v>
      </c>
      <c r="F386" t="s">
        <v>10</v>
      </c>
      <c r="G386" s="3">
        <f t="shared" ref="G386:G449" ca="1" si="6">RANDBETWEEN(6500,12000)</f>
        <v>11246</v>
      </c>
    </row>
    <row r="387" spans="1:7" x14ac:dyDescent="0.3">
      <c r="A387">
        <v>385</v>
      </c>
      <c r="B387" t="s">
        <v>271</v>
      </c>
      <c r="C387" t="s">
        <v>13</v>
      </c>
      <c r="D387" t="s">
        <v>279</v>
      </c>
      <c r="E387" t="s">
        <v>19</v>
      </c>
      <c r="F387" t="s">
        <v>10</v>
      </c>
      <c r="G387" s="3">
        <f t="shared" ca="1" si="6"/>
        <v>8253</v>
      </c>
    </row>
    <row r="388" spans="1:7" x14ac:dyDescent="0.3">
      <c r="A388">
        <v>386</v>
      </c>
      <c r="B388" t="s">
        <v>271</v>
      </c>
      <c r="C388" t="s">
        <v>19</v>
      </c>
      <c r="D388" t="s">
        <v>105</v>
      </c>
      <c r="E388" t="s">
        <v>226</v>
      </c>
      <c r="F388" t="s">
        <v>10</v>
      </c>
      <c r="G388" s="3">
        <f t="shared" ca="1" si="6"/>
        <v>10599</v>
      </c>
    </row>
    <row r="389" spans="1:7" x14ac:dyDescent="0.3">
      <c r="A389">
        <v>387</v>
      </c>
      <c r="B389" t="s">
        <v>271</v>
      </c>
      <c r="C389" t="s">
        <v>7</v>
      </c>
      <c r="D389" t="s">
        <v>227</v>
      </c>
      <c r="E389" t="s">
        <v>19</v>
      </c>
      <c r="F389" t="s">
        <v>10</v>
      </c>
      <c r="G389" s="3">
        <f t="shared" ca="1" si="6"/>
        <v>6546</v>
      </c>
    </row>
    <row r="390" spans="1:7" x14ac:dyDescent="0.3">
      <c r="A390">
        <v>388</v>
      </c>
      <c r="B390" t="s">
        <v>271</v>
      </c>
      <c r="C390" t="s">
        <v>7</v>
      </c>
      <c r="D390" t="s">
        <v>200</v>
      </c>
      <c r="E390" t="s">
        <v>126</v>
      </c>
      <c r="F390" t="s">
        <v>19</v>
      </c>
      <c r="G390" s="3">
        <f t="shared" ca="1" si="6"/>
        <v>11133</v>
      </c>
    </row>
    <row r="391" spans="1:7" x14ac:dyDescent="0.3">
      <c r="A391">
        <v>389</v>
      </c>
      <c r="B391" t="s">
        <v>271</v>
      </c>
      <c r="C391" t="s">
        <v>24</v>
      </c>
      <c r="D391" t="s">
        <v>16</v>
      </c>
      <c r="E391" t="s">
        <v>280</v>
      </c>
      <c r="F391" t="s">
        <v>10</v>
      </c>
      <c r="G391" s="3">
        <f t="shared" ca="1" si="6"/>
        <v>8491</v>
      </c>
    </row>
    <row r="392" spans="1:7" x14ac:dyDescent="0.3">
      <c r="A392">
        <v>390</v>
      </c>
      <c r="B392" t="s">
        <v>271</v>
      </c>
      <c r="C392" t="s">
        <v>7</v>
      </c>
      <c r="D392" t="s">
        <v>281</v>
      </c>
      <c r="E392" t="s">
        <v>46</v>
      </c>
      <c r="F392" t="s">
        <v>10</v>
      </c>
      <c r="G392" s="3">
        <f t="shared" ca="1" si="6"/>
        <v>8250</v>
      </c>
    </row>
    <row r="393" spans="1:7" x14ac:dyDescent="0.3">
      <c r="A393">
        <v>391</v>
      </c>
      <c r="B393" t="s">
        <v>271</v>
      </c>
      <c r="C393" t="s">
        <v>13</v>
      </c>
      <c r="D393" t="s">
        <v>97</v>
      </c>
      <c r="E393" t="s">
        <v>101</v>
      </c>
      <c r="F393" t="s">
        <v>10</v>
      </c>
      <c r="G393" s="3">
        <f t="shared" ca="1" si="6"/>
        <v>11478</v>
      </c>
    </row>
    <row r="394" spans="1:7" x14ac:dyDescent="0.3">
      <c r="A394">
        <v>392</v>
      </c>
      <c r="B394" t="s">
        <v>271</v>
      </c>
      <c r="C394" t="s">
        <v>13</v>
      </c>
      <c r="D394" t="s">
        <v>100</v>
      </c>
      <c r="E394" t="s">
        <v>164</v>
      </c>
      <c r="F394" t="s">
        <v>10</v>
      </c>
      <c r="G394" s="3">
        <f t="shared" ca="1" si="6"/>
        <v>10088</v>
      </c>
    </row>
    <row r="395" spans="1:7" x14ac:dyDescent="0.3">
      <c r="A395">
        <v>393</v>
      </c>
      <c r="B395" t="s">
        <v>271</v>
      </c>
      <c r="C395" t="s">
        <v>19</v>
      </c>
      <c r="D395" t="s">
        <v>19</v>
      </c>
      <c r="E395" t="s">
        <v>19</v>
      </c>
      <c r="F395" t="s">
        <v>19</v>
      </c>
      <c r="G395" s="3">
        <f t="shared" ca="1" si="6"/>
        <v>9243</v>
      </c>
    </row>
    <row r="396" spans="1:7" x14ac:dyDescent="0.3">
      <c r="A396">
        <v>394</v>
      </c>
      <c r="B396" t="s">
        <v>271</v>
      </c>
      <c r="C396" t="s">
        <v>13</v>
      </c>
      <c r="D396" t="s">
        <v>16</v>
      </c>
      <c r="E396" t="s">
        <v>206</v>
      </c>
      <c r="F396" t="s">
        <v>10</v>
      </c>
      <c r="G396" s="3">
        <f t="shared" ca="1" si="6"/>
        <v>10276</v>
      </c>
    </row>
    <row r="397" spans="1:7" x14ac:dyDescent="0.3">
      <c r="A397">
        <v>395</v>
      </c>
      <c r="B397" t="s">
        <v>271</v>
      </c>
      <c r="C397" t="s">
        <v>7</v>
      </c>
      <c r="D397" t="s">
        <v>282</v>
      </c>
      <c r="E397" t="s">
        <v>152</v>
      </c>
      <c r="F397" t="s">
        <v>10</v>
      </c>
      <c r="G397" s="3">
        <f t="shared" ca="1" si="6"/>
        <v>9107</v>
      </c>
    </row>
    <row r="398" spans="1:7" x14ac:dyDescent="0.3">
      <c r="A398">
        <v>396</v>
      </c>
      <c r="B398" t="s">
        <v>271</v>
      </c>
      <c r="C398" t="s">
        <v>24</v>
      </c>
      <c r="D398" t="s">
        <v>97</v>
      </c>
      <c r="E398" t="s">
        <v>206</v>
      </c>
      <c r="F398" t="s">
        <v>10</v>
      </c>
      <c r="G398" s="3">
        <f t="shared" ca="1" si="6"/>
        <v>11399</v>
      </c>
    </row>
    <row r="399" spans="1:7" x14ac:dyDescent="0.3">
      <c r="A399">
        <v>397</v>
      </c>
      <c r="B399" t="s">
        <v>271</v>
      </c>
      <c r="C399" t="s">
        <v>13</v>
      </c>
      <c r="D399" t="s">
        <v>169</v>
      </c>
      <c r="E399" t="s">
        <v>48</v>
      </c>
      <c r="F399" t="s">
        <v>10</v>
      </c>
      <c r="G399" s="3">
        <f t="shared" ca="1" si="6"/>
        <v>9135</v>
      </c>
    </row>
    <row r="400" spans="1:7" x14ac:dyDescent="0.3">
      <c r="A400">
        <v>398</v>
      </c>
      <c r="B400" t="s">
        <v>271</v>
      </c>
      <c r="C400" t="s">
        <v>13</v>
      </c>
      <c r="D400" t="s">
        <v>115</v>
      </c>
      <c r="E400" t="s">
        <v>283</v>
      </c>
      <c r="F400" t="s">
        <v>19</v>
      </c>
      <c r="G400" s="3">
        <f t="shared" ca="1" si="6"/>
        <v>10006</v>
      </c>
    </row>
    <row r="401" spans="1:7" x14ac:dyDescent="0.3">
      <c r="A401">
        <v>399</v>
      </c>
      <c r="B401" t="s">
        <v>271</v>
      </c>
      <c r="C401" t="s">
        <v>13</v>
      </c>
      <c r="D401" t="s">
        <v>279</v>
      </c>
      <c r="E401" t="s">
        <v>19</v>
      </c>
      <c r="F401" t="s">
        <v>10</v>
      </c>
      <c r="G401" s="3">
        <f t="shared" ca="1" si="6"/>
        <v>7247</v>
      </c>
    </row>
    <row r="402" spans="1:7" x14ac:dyDescent="0.3">
      <c r="A402">
        <v>400</v>
      </c>
      <c r="B402" t="s">
        <v>271</v>
      </c>
      <c r="C402" t="s">
        <v>24</v>
      </c>
      <c r="D402" t="s">
        <v>200</v>
      </c>
      <c r="E402" t="s">
        <v>284</v>
      </c>
      <c r="F402" t="s">
        <v>10</v>
      </c>
      <c r="G402" s="3">
        <f t="shared" ca="1" si="6"/>
        <v>11987</v>
      </c>
    </row>
    <row r="403" spans="1:7" x14ac:dyDescent="0.3">
      <c r="A403">
        <v>401</v>
      </c>
      <c r="B403" t="s">
        <v>271</v>
      </c>
      <c r="C403" t="s">
        <v>24</v>
      </c>
      <c r="D403" t="s">
        <v>196</v>
      </c>
      <c r="E403" t="s">
        <v>153</v>
      </c>
      <c r="F403" t="s">
        <v>10</v>
      </c>
      <c r="G403" s="3">
        <f t="shared" ca="1" si="6"/>
        <v>8416</v>
      </c>
    </row>
    <row r="404" spans="1:7" x14ac:dyDescent="0.3">
      <c r="A404">
        <v>402</v>
      </c>
      <c r="B404" t="s">
        <v>271</v>
      </c>
      <c r="C404" t="s">
        <v>7</v>
      </c>
      <c r="D404" t="s">
        <v>114</v>
      </c>
      <c r="E404" t="s">
        <v>126</v>
      </c>
      <c r="F404" t="s">
        <v>10</v>
      </c>
      <c r="G404" s="3">
        <f t="shared" ca="1" si="6"/>
        <v>8174</v>
      </c>
    </row>
    <row r="405" spans="1:7" x14ac:dyDescent="0.3">
      <c r="A405">
        <v>403</v>
      </c>
      <c r="B405" t="s">
        <v>271</v>
      </c>
      <c r="C405" t="s">
        <v>13</v>
      </c>
      <c r="D405" t="s">
        <v>285</v>
      </c>
      <c r="E405" t="s">
        <v>126</v>
      </c>
      <c r="F405" t="s">
        <v>10</v>
      </c>
      <c r="G405" s="3">
        <f t="shared" ca="1" si="6"/>
        <v>8251</v>
      </c>
    </row>
    <row r="406" spans="1:7" x14ac:dyDescent="0.3">
      <c r="A406">
        <v>404</v>
      </c>
      <c r="B406" t="s">
        <v>271</v>
      </c>
      <c r="C406" t="s">
        <v>24</v>
      </c>
      <c r="D406" t="s">
        <v>16</v>
      </c>
      <c r="E406" t="s">
        <v>286</v>
      </c>
      <c r="F406" t="s">
        <v>10</v>
      </c>
      <c r="G406" s="3">
        <f t="shared" ca="1" si="6"/>
        <v>10481</v>
      </c>
    </row>
    <row r="407" spans="1:7" x14ac:dyDescent="0.3">
      <c r="A407">
        <v>405</v>
      </c>
      <c r="B407" t="s">
        <v>271</v>
      </c>
      <c r="C407" t="s">
        <v>13</v>
      </c>
      <c r="D407" t="s">
        <v>76</v>
      </c>
      <c r="E407" t="s">
        <v>126</v>
      </c>
      <c r="F407" t="s">
        <v>19</v>
      </c>
      <c r="G407" s="3">
        <f t="shared" ca="1" si="6"/>
        <v>9174</v>
      </c>
    </row>
    <row r="408" spans="1:7" x14ac:dyDescent="0.3">
      <c r="A408">
        <v>406</v>
      </c>
      <c r="B408" t="s">
        <v>271</v>
      </c>
      <c r="C408" t="s">
        <v>7</v>
      </c>
      <c r="D408" t="s">
        <v>282</v>
      </c>
      <c r="E408" t="s">
        <v>152</v>
      </c>
      <c r="F408" t="s">
        <v>10</v>
      </c>
      <c r="G408" s="3">
        <f t="shared" ca="1" si="6"/>
        <v>7663</v>
      </c>
    </row>
    <row r="409" spans="1:7" x14ac:dyDescent="0.3">
      <c r="A409">
        <v>407</v>
      </c>
      <c r="B409" t="s">
        <v>271</v>
      </c>
      <c r="C409" t="s">
        <v>13</v>
      </c>
      <c r="D409" t="s">
        <v>119</v>
      </c>
      <c r="E409" t="s">
        <v>153</v>
      </c>
      <c r="F409" t="s">
        <v>10</v>
      </c>
      <c r="G409" s="3">
        <f t="shared" ca="1" si="6"/>
        <v>7180</v>
      </c>
    </row>
    <row r="410" spans="1:7" x14ac:dyDescent="0.3">
      <c r="A410">
        <v>408</v>
      </c>
      <c r="B410" t="s">
        <v>271</v>
      </c>
      <c r="C410" t="s">
        <v>7</v>
      </c>
      <c r="D410" t="s">
        <v>16</v>
      </c>
      <c r="E410" t="s">
        <v>126</v>
      </c>
      <c r="F410" t="s">
        <v>10</v>
      </c>
      <c r="G410" s="3">
        <f t="shared" ca="1" si="6"/>
        <v>7190</v>
      </c>
    </row>
    <row r="411" spans="1:7" x14ac:dyDescent="0.3">
      <c r="A411">
        <v>409</v>
      </c>
      <c r="B411" t="s">
        <v>271</v>
      </c>
      <c r="C411" t="s">
        <v>13</v>
      </c>
      <c r="D411" t="s">
        <v>287</v>
      </c>
      <c r="E411" t="s">
        <v>126</v>
      </c>
      <c r="F411" t="s">
        <v>10</v>
      </c>
      <c r="G411" s="3">
        <f t="shared" ca="1" si="6"/>
        <v>8013</v>
      </c>
    </row>
    <row r="412" spans="1:7" x14ac:dyDescent="0.3">
      <c r="A412">
        <v>410</v>
      </c>
      <c r="B412" t="s">
        <v>271</v>
      </c>
      <c r="C412" t="s">
        <v>13</v>
      </c>
      <c r="D412" t="s">
        <v>288</v>
      </c>
      <c r="E412" t="s">
        <v>289</v>
      </c>
      <c r="F412" t="s">
        <v>19</v>
      </c>
      <c r="G412" s="3">
        <f t="shared" ca="1" si="6"/>
        <v>9684</v>
      </c>
    </row>
    <row r="413" spans="1:7" x14ac:dyDescent="0.3">
      <c r="A413">
        <v>411</v>
      </c>
      <c r="B413" t="s">
        <v>271</v>
      </c>
      <c r="C413" t="s">
        <v>7</v>
      </c>
      <c r="D413" t="s">
        <v>200</v>
      </c>
      <c r="E413" t="s">
        <v>126</v>
      </c>
      <c r="F413" t="s">
        <v>10</v>
      </c>
      <c r="G413" s="3">
        <f t="shared" ca="1" si="6"/>
        <v>7119</v>
      </c>
    </row>
    <row r="414" spans="1:7" x14ac:dyDescent="0.3">
      <c r="A414">
        <v>412</v>
      </c>
      <c r="B414" t="s">
        <v>271</v>
      </c>
      <c r="C414" t="s">
        <v>7</v>
      </c>
      <c r="D414" t="s">
        <v>217</v>
      </c>
      <c r="E414" t="s">
        <v>153</v>
      </c>
      <c r="F414" t="s">
        <v>10</v>
      </c>
      <c r="G414" s="3">
        <f t="shared" ca="1" si="6"/>
        <v>7066</v>
      </c>
    </row>
    <row r="415" spans="1:7" x14ac:dyDescent="0.3">
      <c r="A415">
        <v>413</v>
      </c>
      <c r="B415" t="s">
        <v>271</v>
      </c>
      <c r="C415" t="s">
        <v>7</v>
      </c>
      <c r="D415" t="s">
        <v>80</v>
      </c>
      <c r="E415" t="s">
        <v>126</v>
      </c>
      <c r="F415" t="s">
        <v>10</v>
      </c>
      <c r="G415" s="3">
        <f t="shared" ca="1" si="6"/>
        <v>7215</v>
      </c>
    </row>
    <row r="416" spans="1:7" x14ac:dyDescent="0.3">
      <c r="A416">
        <v>414</v>
      </c>
      <c r="B416" t="s">
        <v>271</v>
      </c>
      <c r="C416" t="s">
        <v>13</v>
      </c>
      <c r="D416" t="s">
        <v>188</v>
      </c>
      <c r="E416" t="s">
        <v>19</v>
      </c>
      <c r="F416" t="s">
        <v>10</v>
      </c>
      <c r="G416" s="3">
        <f t="shared" ca="1" si="6"/>
        <v>9370</v>
      </c>
    </row>
    <row r="417" spans="1:7" x14ac:dyDescent="0.3">
      <c r="A417">
        <v>415</v>
      </c>
      <c r="B417" t="s">
        <v>271</v>
      </c>
      <c r="C417" t="s">
        <v>24</v>
      </c>
      <c r="D417" t="s">
        <v>177</v>
      </c>
      <c r="E417" t="s">
        <v>164</v>
      </c>
      <c r="F417" t="s">
        <v>10</v>
      </c>
      <c r="G417" s="3">
        <f t="shared" ca="1" si="6"/>
        <v>8189</v>
      </c>
    </row>
    <row r="418" spans="1:7" x14ac:dyDescent="0.3">
      <c r="A418">
        <v>416</v>
      </c>
      <c r="B418" t="s">
        <v>271</v>
      </c>
      <c r="C418" t="s">
        <v>7</v>
      </c>
      <c r="D418" t="s">
        <v>290</v>
      </c>
      <c r="E418" t="s">
        <v>152</v>
      </c>
      <c r="F418" t="s">
        <v>291</v>
      </c>
      <c r="G418" s="3">
        <f t="shared" ca="1" si="6"/>
        <v>7035</v>
      </c>
    </row>
    <row r="419" spans="1:7" x14ac:dyDescent="0.3">
      <c r="A419">
        <v>417</v>
      </c>
      <c r="B419" t="s">
        <v>271</v>
      </c>
      <c r="C419" t="s">
        <v>7</v>
      </c>
      <c r="D419" t="s">
        <v>122</v>
      </c>
      <c r="E419" t="s">
        <v>19</v>
      </c>
      <c r="F419" t="s">
        <v>10</v>
      </c>
      <c r="G419" s="3">
        <f t="shared" ca="1" si="6"/>
        <v>9434</v>
      </c>
    </row>
    <row r="420" spans="1:7" x14ac:dyDescent="0.3">
      <c r="A420">
        <v>418</v>
      </c>
      <c r="B420" t="s">
        <v>271</v>
      </c>
      <c r="C420" t="s">
        <v>13</v>
      </c>
      <c r="D420" t="s">
        <v>41</v>
      </c>
      <c r="E420" t="s">
        <v>292</v>
      </c>
      <c r="F420" t="s">
        <v>104</v>
      </c>
      <c r="G420" s="3">
        <f t="shared" ca="1" si="6"/>
        <v>11314</v>
      </c>
    </row>
    <row r="421" spans="1:7" x14ac:dyDescent="0.3">
      <c r="A421">
        <v>419</v>
      </c>
      <c r="B421" t="s">
        <v>271</v>
      </c>
      <c r="C421" t="s">
        <v>13</v>
      </c>
      <c r="D421" t="s">
        <v>169</v>
      </c>
      <c r="E421" t="s">
        <v>132</v>
      </c>
      <c r="F421" t="s">
        <v>10</v>
      </c>
      <c r="G421" s="3">
        <f t="shared" ca="1" si="6"/>
        <v>11623</v>
      </c>
    </row>
    <row r="422" spans="1:7" x14ac:dyDescent="0.3">
      <c r="A422">
        <v>420</v>
      </c>
      <c r="B422" t="s">
        <v>271</v>
      </c>
      <c r="C422" t="s">
        <v>7</v>
      </c>
      <c r="D422" t="s">
        <v>22</v>
      </c>
      <c r="E422" t="s">
        <v>293</v>
      </c>
      <c r="F422" t="s">
        <v>10</v>
      </c>
      <c r="G422" s="3">
        <f t="shared" ca="1" si="6"/>
        <v>7587</v>
      </c>
    </row>
    <row r="423" spans="1:7" x14ac:dyDescent="0.3">
      <c r="A423">
        <v>421</v>
      </c>
      <c r="B423" t="s">
        <v>271</v>
      </c>
      <c r="C423" t="s">
        <v>7</v>
      </c>
      <c r="D423" t="s">
        <v>22</v>
      </c>
      <c r="E423" t="s">
        <v>153</v>
      </c>
      <c r="F423" t="s">
        <v>10</v>
      </c>
      <c r="G423" s="3">
        <f t="shared" ca="1" si="6"/>
        <v>11932</v>
      </c>
    </row>
    <row r="424" spans="1:7" x14ac:dyDescent="0.3">
      <c r="A424">
        <v>422</v>
      </c>
      <c r="B424" t="s">
        <v>271</v>
      </c>
      <c r="C424" t="s">
        <v>13</v>
      </c>
      <c r="D424" t="s">
        <v>277</v>
      </c>
      <c r="E424" t="s">
        <v>132</v>
      </c>
      <c r="F424" t="s">
        <v>10</v>
      </c>
      <c r="G424" s="3">
        <f t="shared" ca="1" si="6"/>
        <v>7773</v>
      </c>
    </row>
    <row r="425" spans="1:7" x14ac:dyDescent="0.3">
      <c r="A425">
        <v>423</v>
      </c>
      <c r="B425" t="s">
        <v>271</v>
      </c>
      <c r="C425" t="s">
        <v>13</v>
      </c>
      <c r="D425" t="s">
        <v>294</v>
      </c>
      <c r="E425" t="s">
        <v>295</v>
      </c>
      <c r="F425" t="s">
        <v>10</v>
      </c>
      <c r="G425" s="3">
        <f t="shared" ca="1" si="6"/>
        <v>9637</v>
      </c>
    </row>
    <row r="426" spans="1:7" x14ac:dyDescent="0.3">
      <c r="A426">
        <v>424</v>
      </c>
      <c r="B426" t="s">
        <v>271</v>
      </c>
      <c r="C426" t="s">
        <v>7</v>
      </c>
      <c r="D426" t="s">
        <v>19</v>
      </c>
      <c r="E426" t="s">
        <v>206</v>
      </c>
      <c r="F426" t="s">
        <v>19</v>
      </c>
      <c r="G426" s="3">
        <f t="shared" ca="1" si="6"/>
        <v>7925</v>
      </c>
    </row>
    <row r="427" spans="1:7" x14ac:dyDescent="0.3">
      <c r="A427">
        <v>425</v>
      </c>
      <c r="B427" t="s">
        <v>271</v>
      </c>
      <c r="C427" t="s">
        <v>13</v>
      </c>
      <c r="D427" t="s">
        <v>114</v>
      </c>
      <c r="E427" t="s">
        <v>242</v>
      </c>
      <c r="F427" t="s">
        <v>10</v>
      </c>
      <c r="G427" s="3">
        <f t="shared" ca="1" si="6"/>
        <v>6611</v>
      </c>
    </row>
    <row r="428" spans="1:7" x14ac:dyDescent="0.3">
      <c r="A428">
        <v>426</v>
      </c>
      <c r="B428" t="s">
        <v>271</v>
      </c>
      <c r="C428" t="s">
        <v>7</v>
      </c>
      <c r="D428" t="s">
        <v>19</v>
      </c>
      <c r="E428" t="s">
        <v>206</v>
      </c>
      <c r="F428" t="s">
        <v>10</v>
      </c>
      <c r="G428" s="3">
        <f t="shared" ca="1" si="6"/>
        <v>10411</v>
      </c>
    </row>
    <row r="429" spans="1:7" x14ac:dyDescent="0.3">
      <c r="A429">
        <v>427</v>
      </c>
      <c r="B429" t="s">
        <v>271</v>
      </c>
      <c r="C429" t="s">
        <v>7</v>
      </c>
      <c r="D429" t="s">
        <v>8</v>
      </c>
      <c r="E429" t="s">
        <v>296</v>
      </c>
      <c r="F429" t="s">
        <v>10</v>
      </c>
      <c r="G429" s="3">
        <f t="shared" ca="1" si="6"/>
        <v>8158</v>
      </c>
    </row>
    <row r="430" spans="1:7" x14ac:dyDescent="0.3">
      <c r="A430">
        <v>428</v>
      </c>
      <c r="B430" t="s">
        <v>271</v>
      </c>
      <c r="C430" t="s">
        <v>13</v>
      </c>
      <c r="D430" t="s">
        <v>260</v>
      </c>
      <c r="E430" t="s">
        <v>261</v>
      </c>
      <c r="F430" t="s">
        <v>10</v>
      </c>
      <c r="G430" s="3">
        <f t="shared" ca="1" si="6"/>
        <v>8953</v>
      </c>
    </row>
    <row r="431" spans="1:7" x14ac:dyDescent="0.3">
      <c r="A431">
        <v>429</v>
      </c>
      <c r="B431" t="s">
        <v>271</v>
      </c>
      <c r="C431" t="s">
        <v>13</v>
      </c>
      <c r="D431" t="s">
        <v>16</v>
      </c>
      <c r="E431" t="s">
        <v>126</v>
      </c>
      <c r="F431" t="s">
        <v>19</v>
      </c>
      <c r="G431" s="3">
        <f t="shared" ca="1" si="6"/>
        <v>8853</v>
      </c>
    </row>
    <row r="432" spans="1:7" x14ac:dyDescent="0.3">
      <c r="A432">
        <v>430</v>
      </c>
      <c r="B432" t="s">
        <v>271</v>
      </c>
      <c r="C432" t="s">
        <v>13</v>
      </c>
      <c r="D432" t="s">
        <v>297</v>
      </c>
      <c r="E432" t="s">
        <v>242</v>
      </c>
      <c r="F432" t="s">
        <v>10</v>
      </c>
      <c r="G432" s="3">
        <f t="shared" ca="1" si="6"/>
        <v>11446</v>
      </c>
    </row>
    <row r="433" spans="1:7" x14ac:dyDescent="0.3">
      <c r="A433">
        <v>431</v>
      </c>
      <c r="B433" t="s">
        <v>271</v>
      </c>
      <c r="C433" t="s">
        <v>24</v>
      </c>
      <c r="D433" t="s">
        <v>16</v>
      </c>
      <c r="E433" t="s">
        <v>298</v>
      </c>
      <c r="F433" t="s">
        <v>10</v>
      </c>
      <c r="G433" s="3">
        <f t="shared" ca="1" si="6"/>
        <v>7529</v>
      </c>
    </row>
    <row r="434" spans="1:7" x14ac:dyDescent="0.3">
      <c r="A434">
        <v>432</v>
      </c>
      <c r="B434" t="s">
        <v>271</v>
      </c>
      <c r="C434" t="s">
        <v>13</v>
      </c>
      <c r="D434" t="s">
        <v>37</v>
      </c>
      <c r="E434" t="s">
        <v>38</v>
      </c>
      <c r="F434" t="s">
        <v>10</v>
      </c>
      <c r="G434" s="3">
        <f t="shared" ca="1" si="6"/>
        <v>8957</v>
      </c>
    </row>
    <row r="435" spans="1:7" x14ac:dyDescent="0.3">
      <c r="A435">
        <v>433</v>
      </c>
      <c r="B435" t="s">
        <v>271</v>
      </c>
      <c r="C435" t="s">
        <v>13</v>
      </c>
      <c r="D435" t="s">
        <v>279</v>
      </c>
      <c r="E435" t="s">
        <v>153</v>
      </c>
      <c r="F435" t="s">
        <v>10</v>
      </c>
      <c r="G435" s="3">
        <f t="shared" ca="1" si="6"/>
        <v>10306</v>
      </c>
    </row>
    <row r="436" spans="1:7" x14ac:dyDescent="0.3">
      <c r="A436">
        <v>434</v>
      </c>
      <c r="B436" t="s">
        <v>271</v>
      </c>
      <c r="C436" t="s">
        <v>13</v>
      </c>
      <c r="D436" t="s">
        <v>285</v>
      </c>
      <c r="E436" t="s">
        <v>126</v>
      </c>
      <c r="F436" t="s">
        <v>10</v>
      </c>
      <c r="G436" s="3">
        <f t="shared" ca="1" si="6"/>
        <v>10536</v>
      </c>
    </row>
    <row r="437" spans="1:7" x14ac:dyDescent="0.3">
      <c r="A437">
        <v>435</v>
      </c>
      <c r="B437" t="s">
        <v>271</v>
      </c>
      <c r="C437" t="s">
        <v>13</v>
      </c>
      <c r="D437" t="s">
        <v>140</v>
      </c>
      <c r="E437" t="s">
        <v>120</v>
      </c>
      <c r="F437" t="s">
        <v>10</v>
      </c>
      <c r="G437" s="3">
        <f t="shared" ca="1" si="6"/>
        <v>10275</v>
      </c>
    </row>
    <row r="438" spans="1:7" x14ac:dyDescent="0.3">
      <c r="A438">
        <v>436</v>
      </c>
      <c r="B438" t="s">
        <v>271</v>
      </c>
      <c r="C438" t="s">
        <v>13</v>
      </c>
      <c r="D438" t="s">
        <v>170</v>
      </c>
      <c r="E438" t="s">
        <v>299</v>
      </c>
      <c r="F438" t="s">
        <v>10</v>
      </c>
      <c r="G438" s="3">
        <f t="shared" ca="1" si="6"/>
        <v>8071</v>
      </c>
    </row>
    <row r="439" spans="1:7" x14ac:dyDescent="0.3">
      <c r="A439">
        <v>437</v>
      </c>
      <c r="B439" t="s">
        <v>271</v>
      </c>
      <c r="C439" t="s">
        <v>7</v>
      </c>
      <c r="D439" t="s">
        <v>22</v>
      </c>
      <c r="E439" t="s">
        <v>244</v>
      </c>
      <c r="F439" t="s">
        <v>10</v>
      </c>
      <c r="G439" s="3">
        <f t="shared" ca="1" si="6"/>
        <v>7031</v>
      </c>
    </row>
    <row r="440" spans="1:7" x14ac:dyDescent="0.3">
      <c r="A440">
        <v>438</v>
      </c>
      <c r="B440" t="s">
        <v>271</v>
      </c>
      <c r="C440" t="s">
        <v>7</v>
      </c>
      <c r="D440" t="s">
        <v>192</v>
      </c>
      <c r="E440" t="s">
        <v>300</v>
      </c>
      <c r="F440" t="s">
        <v>10</v>
      </c>
      <c r="G440" s="3">
        <f t="shared" ca="1" si="6"/>
        <v>8867</v>
      </c>
    </row>
    <row r="441" spans="1:7" x14ac:dyDescent="0.3">
      <c r="A441">
        <v>439</v>
      </c>
      <c r="B441" t="s">
        <v>271</v>
      </c>
      <c r="C441" t="s">
        <v>7</v>
      </c>
      <c r="D441" t="s">
        <v>22</v>
      </c>
      <c r="E441" t="s">
        <v>85</v>
      </c>
      <c r="F441" t="s">
        <v>10</v>
      </c>
      <c r="G441" s="3">
        <f t="shared" ca="1" si="6"/>
        <v>8114</v>
      </c>
    </row>
    <row r="442" spans="1:7" x14ac:dyDescent="0.3">
      <c r="A442">
        <v>440</v>
      </c>
      <c r="B442" t="s">
        <v>271</v>
      </c>
      <c r="C442" t="s">
        <v>7</v>
      </c>
      <c r="D442" t="s">
        <v>80</v>
      </c>
      <c r="E442" t="s">
        <v>126</v>
      </c>
      <c r="F442" t="s">
        <v>10</v>
      </c>
      <c r="G442" s="3">
        <f t="shared" ca="1" si="6"/>
        <v>8720</v>
      </c>
    </row>
    <row r="443" spans="1:7" x14ac:dyDescent="0.3">
      <c r="A443">
        <v>441</v>
      </c>
      <c r="B443" t="s">
        <v>271</v>
      </c>
      <c r="C443" t="s">
        <v>7</v>
      </c>
      <c r="D443" t="s">
        <v>241</v>
      </c>
      <c r="E443" t="s">
        <v>242</v>
      </c>
      <c r="F443" t="s">
        <v>19</v>
      </c>
      <c r="G443" s="3">
        <f t="shared" ca="1" si="6"/>
        <v>9716</v>
      </c>
    </row>
    <row r="444" spans="1:7" x14ac:dyDescent="0.3">
      <c r="A444">
        <v>442</v>
      </c>
      <c r="B444" t="s">
        <v>271</v>
      </c>
      <c r="C444" t="s">
        <v>13</v>
      </c>
      <c r="D444" t="s">
        <v>200</v>
      </c>
      <c r="E444" t="s">
        <v>152</v>
      </c>
      <c r="F444" t="s">
        <v>10</v>
      </c>
      <c r="G444" s="3">
        <f t="shared" ca="1" si="6"/>
        <v>10210</v>
      </c>
    </row>
    <row r="445" spans="1:7" x14ac:dyDescent="0.3">
      <c r="A445">
        <v>443</v>
      </c>
      <c r="B445" t="s">
        <v>271</v>
      </c>
      <c r="C445" t="s">
        <v>7</v>
      </c>
      <c r="D445" t="s">
        <v>301</v>
      </c>
      <c r="E445" t="s">
        <v>153</v>
      </c>
      <c r="F445" t="s">
        <v>10</v>
      </c>
      <c r="G445" s="3">
        <f t="shared" ca="1" si="6"/>
        <v>9536</v>
      </c>
    </row>
    <row r="446" spans="1:7" x14ac:dyDescent="0.3">
      <c r="A446">
        <v>444</v>
      </c>
      <c r="B446" t="s">
        <v>271</v>
      </c>
      <c r="C446" t="s">
        <v>7</v>
      </c>
      <c r="D446" t="s">
        <v>200</v>
      </c>
      <c r="E446" t="s">
        <v>206</v>
      </c>
      <c r="F446" t="s">
        <v>10</v>
      </c>
      <c r="G446" s="3">
        <f t="shared" ca="1" si="6"/>
        <v>11546</v>
      </c>
    </row>
    <row r="447" spans="1:7" x14ac:dyDescent="0.3">
      <c r="A447">
        <v>445</v>
      </c>
      <c r="B447" t="s">
        <v>271</v>
      </c>
      <c r="C447" t="s">
        <v>19</v>
      </c>
      <c r="D447" t="s">
        <v>19</v>
      </c>
      <c r="E447" t="s">
        <v>19</v>
      </c>
      <c r="F447" t="s">
        <v>19</v>
      </c>
      <c r="G447" s="3">
        <f t="shared" ca="1" si="6"/>
        <v>6900</v>
      </c>
    </row>
    <row r="448" spans="1:7" x14ac:dyDescent="0.3">
      <c r="A448">
        <v>446</v>
      </c>
      <c r="B448" t="s">
        <v>271</v>
      </c>
      <c r="C448" t="s">
        <v>13</v>
      </c>
      <c r="D448" t="s">
        <v>302</v>
      </c>
      <c r="E448" t="s">
        <v>152</v>
      </c>
      <c r="F448" t="s">
        <v>10</v>
      </c>
      <c r="G448" s="3">
        <f t="shared" ca="1" si="6"/>
        <v>8554</v>
      </c>
    </row>
    <row r="449" spans="1:7" x14ac:dyDescent="0.3">
      <c r="A449">
        <v>447</v>
      </c>
      <c r="B449" t="s">
        <v>271</v>
      </c>
      <c r="C449" t="s">
        <v>7</v>
      </c>
      <c r="D449" t="s">
        <v>119</v>
      </c>
      <c r="E449" t="s">
        <v>19</v>
      </c>
      <c r="F449" t="s">
        <v>10</v>
      </c>
      <c r="G449" s="3">
        <f t="shared" ca="1" si="6"/>
        <v>6981</v>
      </c>
    </row>
    <row r="450" spans="1:7" x14ac:dyDescent="0.3">
      <c r="A450">
        <v>448</v>
      </c>
      <c r="B450" t="s">
        <v>271</v>
      </c>
      <c r="C450" t="s">
        <v>13</v>
      </c>
      <c r="D450" t="s">
        <v>303</v>
      </c>
      <c r="E450" t="s">
        <v>248</v>
      </c>
      <c r="F450" t="s">
        <v>10</v>
      </c>
      <c r="G450" s="3">
        <f t="shared" ref="G450:G513" ca="1" si="7">RANDBETWEEN(6500,12000)</f>
        <v>10963</v>
      </c>
    </row>
    <row r="451" spans="1:7" x14ac:dyDescent="0.3">
      <c r="A451">
        <v>449</v>
      </c>
      <c r="B451" t="s">
        <v>271</v>
      </c>
      <c r="C451" t="s">
        <v>7</v>
      </c>
      <c r="D451" t="s">
        <v>22</v>
      </c>
      <c r="E451" t="s">
        <v>244</v>
      </c>
      <c r="F451" t="s">
        <v>10</v>
      </c>
      <c r="G451" s="3">
        <f t="shared" ca="1" si="7"/>
        <v>8159</v>
      </c>
    </row>
    <row r="452" spans="1:7" x14ac:dyDescent="0.3">
      <c r="A452">
        <v>450</v>
      </c>
      <c r="B452" t="s">
        <v>271</v>
      </c>
      <c r="C452" t="s">
        <v>7</v>
      </c>
      <c r="D452" t="s">
        <v>188</v>
      </c>
      <c r="E452" t="s">
        <v>242</v>
      </c>
      <c r="F452" t="s">
        <v>10</v>
      </c>
      <c r="G452" s="3">
        <f t="shared" ca="1" si="7"/>
        <v>10984</v>
      </c>
    </row>
    <row r="453" spans="1:7" x14ac:dyDescent="0.3">
      <c r="A453">
        <v>451</v>
      </c>
      <c r="B453" t="s">
        <v>271</v>
      </c>
      <c r="C453" t="s">
        <v>13</v>
      </c>
      <c r="D453" t="s">
        <v>202</v>
      </c>
      <c r="E453" t="s">
        <v>132</v>
      </c>
      <c r="F453" t="s">
        <v>10</v>
      </c>
      <c r="G453" s="3">
        <f t="shared" ca="1" si="7"/>
        <v>10146</v>
      </c>
    </row>
    <row r="454" spans="1:7" x14ac:dyDescent="0.3">
      <c r="A454">
        <v>452</v>
      </c>
      <c r="B454" t="s">
        <v>271</v>
      </c>
      <c r="C454" t="s">
        <v>7</v>
      </c>
      <c r="D454" t="s">
        <v>22</v>
      </c>
      <c r="E454" t="s">
        <v>206</v>
      </c>
      <c r="F454" t="s">
        <v>10</v>
      </c>
      <c r="G454" s="3">
        <f t="shared" ca="1" si="7"/>
        <v>9519</v>
      </c>
    </row>
    <row r="455" spans="1:7" x14ac:dyDescent="0.3">
      <c r="A455">
        <v>453</v>
      </c>
      <c r="B455" t="s">
        <v>271</v>
      </c>
      <c r="C455" t="s">
        <v>7</v>
      </c>
      <c r="D455" t="s">
        <v>179</v>
      </c>
      <c r="E455" t="s">
        <v>304</v>
      </c>
      <c r="F455" t="s">
        <v>10</v>
      </c>
      <c r="G455" s="3">
        <f t="shared" ca="1" si="7"/>
        <v>11747</v>
      </c>
    </row>
    <row r="456" spans="1:7" x14ac:dyDescent="0.3">
      <c r="A456">
        <v>454</v>
      </c>
      <c r="B456" t="s">
        <v>271</v>
      </c>
      <c r="C456" t="s">
        <v>13</v>
      </c>
      <c r="D456" t="s">
        <v>119</v>
      </c>
      <c r="E456" t="s">
        <v>150</v>
      </c>
      <c r="F456" t="s">
        <v>10</v>
      </c>
      <c r="G456" s="3">
        <f t="shared" ca="1" si="7"/>
        <v>7388</v>
      </c>
    </row>
    <row r="457" spans="1:7" x14ac:dyDescent="0.3">
      <c r="A457">
        <v>455</v>
      </c>
      <c r="B457" t="s">
        <v>271</v>
      </c>
      <c r="C457" t="s">
        <v>7</v>
      </c>
      <c r="D457" t="s">
        <v>8</v>
      </c>
      <c r="E457" t="s">
        <v>254</v>
      </c>
      <c r="F457" t="s">
        <v>10</v>
      </c>
      <c r="G457" s="3">
        <f t="shared" ca="1" si="7"/>
        <v>8889</v>
      </c>
    </row>
    <row r="458" spans="1:7" x14ac:dyDescent="0.3">
      <c r="A458">
        <v>456</v>
      </c>
      <c r="B458" t="s">
        <v>271</v>
      </c>
      <c r="C458" t="s">
        <v>13</v>
      </c>
      <c r="D458" t="s">
        <v>35</v>
      </c>
      <c r="E458" t="s">
        <v>305</v>
      </c>
      <c r="F458" t="s">
        <v>10</v>
      </c>
      <c r="G458" s="3">
        <f t="shared" ca="1" si="7"/>
        <v>10094</v>
      </c>
    </row>
    <row r="459" spans="1:7" x14ac:dyDescent="0.3">
      <c r="A459">
        <v>457</v>
      </c>
      <c r="B459" t="s">
        <v>271</v>
      </c>
      <c r="C459" t="s">
        <v>7</v>
      </c>
      <c r="D459" t="s">
        <v>16</v>
      </c>
      <c r="E459" t="s">
        <v>306</v>
      </c>
      <c r="F459" t="s">
        <v>10</v>
      </c>
      <c r="G459" s="3">
        <f t="shared" ca="1" si="7"/>
        <v>11836</v>
      </c>
    </row>
    <row r="460" spans="1:7" x14ac:dyDescent="0.3">
      <c r="A460">
        <v>458</v>
      </c>
      <c r="B460" t="s">
        <v>271</v>
      </c>
      <c r="C460" t="s">
        <v>13</v>
      </c>
      <c r="D460" t="s">
        <v>307</v>
      </c>
      <c r="E460" t="s">
        <v>308</v>
      </c>
      <c r="F460" t="s">
        <v>10</v>
      </c>
      <c r="G460" s="3">
        <f t="shared" ca="1" si="7"/>
        <v>11356</v>
      </c>
    </row>
    <row r="461" spans="1:7" x14ac:dyDescent="0.3">
      <c r="A461">
        <v>459</v>
      </c>
      <c r="B461" t="s">
        <v>271</v>
      </c>
      <c r="C461" t="s">
        <v>13</v>
      </c>
      <c r="D461" t="s">
        <v>115</v>
      </c>
      <c r="E461" t="s">
        <v>152</v>
      </c>
      <c r="F461" t="s">
        <v>10</v>
      </c>
      <c r="G461" s="3">
        <f t="shared" ca="1" si="7"/>
        <v>7601</v>
      </c>
    </row>
    <row r="462" spans="1:7" x14ac:dyDescent="0.3">
      <c r="A462">
        <v>460</v>
      </c>
      <c r="B462" t="s">
        <v>271</v>
      </c>
      <c r="C462" t="s">
        <v>13</v>
      </c>
      <c r="D462" t="s">
        <v>144</v>
      </c>
      <c r="E462" t="s">
        <v>145</v>
      </c>
      <c r="F462" t="s">
        <v>10</v>
      </c>
      <c r="G462" s="3">
        <f t="shared" ca="1" si="7"/>
        <v>10609</v>
      </c>
    </row>
    <row r="463" spans="1:7" x14ac:dyDescent="0.3">
      <c r="A463">
        <v>461</v>
      </c>
      <c r="B463" t="s">
        <v>271</v>
      </c>
      <c r="C463" t="s">
        <v>13</v>
      </c>
      <c r="D463" t="s">
        <v>176</v>
      </c>
      <c r="E463" t="s">
        <v>242</v>
      </c>
      <c r="F463" t="s">
        <v>10</v>
      </c>
      <c r="G463" s="3">
        <f t="shared" ca="1" si="7"/>
        <v>10256</v>
      </c>
    </row>
    <row r="464" spans="1:7" x14ac:dyDescent="0.3">
      <c r="A464">
        <v>462</v>
      </c>
      <c r="B464" t="s">
        <v>271</v>
      </c>
      <c r="C464" t="s">
        <v>7</v>
      </c>
      <c r="D464" t="s">
        <v>45</v>
      </c>
      <c r="E464" t="s">
        <v>129</v>
      </c>
      <c r="F464" t="s">
        <v>19</v>
      </c>
      <c r="G464" s="3">
        <f t="shared" ca="1" si="7"/>
        <v>9856</v>
      </c>
    </row>
    <row r="465" spans="1:7" x14ac:dyDescent="0.3">
      <c r="A465">
        <v>463</v>
      </c>
      <c r="B465" t="s">
        <v>271</v>
      </c>
      <c r="C465" t="s">
        <v>13</v>
      </c>
      <c r="D465" t="s">
        <v>140</v>
      </c>
      <c r="E465" t="s">
        <v>19</v>
      </c>
      <c r="F465" t="s">
        <v>10</v>
      </c>
      <c r="G465" s="3">
        <f t="shared" ca="1" si="7"/>
        <v>10561</v>
      </c>
    </row>
    <row r="466" spans="1:7" x14ac:dyDescent="0.3">
      <c r="A466">
        <v>464</v>
      </c>
      <c r="B466" t="s">
        <v>271</v>
      </c>
      <c r="C466" t="s">
        <v>13</v>
      </c>
      <c r="D466" t="s">
        <v>294</v>
      </c>
      <c r="E466" t="s">
        <v>295</v>
      </c>
      <c r="F466" t="s">
        <v>10</v>
      </c>
      <c r="G466" s="3">
        <f t="shared" ca="1" si="7"/>
        <v>9132</v>
      </c>
    </row>
    <row r="467" spans="1:7" x14ac:dyDescent="0.3">
      <c r="A467">
        <v>465</v>
      </c>
      <c r="B467" t="s">
        <v>271</v>
      </c>
      <c r="C467" t="s">
        <v>13</v>
      </c>
      <c r="D467" t="s">
        <v>309</v>
      </c>
      <c r="E467" t="s">
        <v>153</v>
      </c>
      <c r="F467" t="s">
        <v>10</v>
      </c>
      <c r="G467" s="3">
        <f t="shared" ca="1" si="7"/>
        <v>7479</v>
      </c>
    </row>
    <row r="468" spans="1:7" x14ac:dyDescent="0.3">
      <c r="A468">
        <v>466</v>
      </c>
      <c r="B468" t="s">
        <v>271</v>
      </c>
      <c r="C468" t="s">
        <v>13</v>
      </c>
      <c r="D468" t="s">
        <v>212</v>
      </c>
      <c r="E468" t="s">
        <v>213</v>
      </c>
      <c r="F468" t="s">
        <v>10</v>
      </c>
      <c r="G468" s="3">
        <f t="shared" ca="1" si="7"/>
        <v>10553</v>
      </c>
    </row>
    <row r="469" spans="1:7" x14ac:dyDescent="0.3">
      <c r="A469">
        <v>467</v>
      </c>
      <c r="B469" t="s">
        <v>271</v>
      </c>
      <c r="C469" t="s">
        <v>7</v>
      </c>
      <c r="D469" t="s">
        <v>22</v>
      </c>
      <c r="E469" t="s">
        <v>310</v>
      </c>
      <c r="F469" t="s">
        <v>10</v>
      </c>
      <c r="G469" s="3">
        <f t="shared" ca="1" si="7"/>
        <v>10028</v>
      </c>
    </row>
    <row r="470" spans="1:7" x14ac:dyDescent="0.3">
      <c r="A470">
        <v>468</v>
      </c>
      <c r="B470" t="s">
        <v>271</v>
      </c>
      <c r="C470" t="s">
        <v>7</v>
      </c>
      <c r="D470" t="s">
        <v>16</v>
      </c>
      <c r="E470" t="s">
        <v>153</v>
      </c>
      <c r="F470" t="s">
        <v>10</v>
      </c>
      <c r="G470" s="3">
        <f t="shared" ca="1" si="7"/>
        <v>9356</v>
      </c>
    </row>
    <row r="471" spans="1:7" x14ac:dyDescent="0.3">
      <c r="A471">
        <v>469</v>
      </c>
      <c r="B471" t="s">
        <v>271</v>
      </c>
      <c r="C471" t="s">
        <v>7</v>
      </c>
      <c r="D471" t="s">
        <v>311</v>
      </c>
      <c r="E471" t="s">
        <v>312</v>
      </c>
      <c r="F471" t="s">
        <v>10</v>
      </c>
      <c r="G471" s="3">
        <f t="shared" ca="1" si="7"/>
        <v>11575</v>
      </c>
    </row>
    <row r="472" spans="1:7" x14ac:dyDescent="0.3">
      <c r="A472">
        <v>470</v>
      </c>
      <c r="B472" t="s">
        <v>271</v>
      </c>
      <c r="C472" t="s">
        <v>13</v>
      </c>
      <c r="D472" t="s">
        <v>313</v>
      </c>
      <c r="E472" t="s">
        <v>314</v>
      </c>
      <c r="F472" t="s">
        <v>10</v>
      </c>
      <c r="G472" s="3">
        <f t="shared" ca="1" si="7"/>
        <v>7793</v>
      </c>
    </row>
    <row r="473" spans="1:7" x14ac:dyDescent="0.3">
      <c r="A473">
        <v>471</v>
      </c>
      <c r="B473" t="s">
        <v>271</v>
      </c>
      <c r="C473" t="s">
        <v>13</v>
      </c>
      <c r="D473" t="s">
        <v>97</v>
      </c>
      <c r="E473" t="s">
        <v>315</v>
      </c>
      <c r="F473" t="s">
        <v>10</v>
      </c>
      <c r="G473" s="3">
        <f t="shared" ca="1" si="7"/>
        <v>7890</v>
      </c>
    </row>
    <row r="474" spans="1:7" x14ac:dyDescent="0.3">
      <c r="A474">
        <v>472</v>
      </c>
      <c r="B474" t="s">
        <v>271</v>
      </c>
      <c r="C474" t="s">
        <v>7</v>
      </c>
      <c r="D474" t="s">
        <v>54</v>
      </c>
      <c r="E474" t="s">
        <v>316</v>
      </c>
      <c r="F474" t="s">
        <v>10</v>
      </c>
      <c r="G474" s="3">
        <f t="shared" ca="1" si="7"/>
        <v>11914</v>
      </c>
    </row>
    <row r="475" spans="1:7" x14ac:dyDescent="0.3">
      <c r="A475">
        <v>473</v>
      </c>
      <c r="B475" t="s">
        <v>271</v>
      </c>
      <c r="C475" t="s">
        <v>13</v>
      </c>
      <c r="D475" t="s">
        <v>16</v>
      </c>
      <c r="E475" t="s">
        <v>19</v>
      </c>
      <c r="F475" t="s">
        <v>10</v>
      </c>
      <c r="G475" s="3">
        <f t="shared" ca="1" si="7"/>
        <v>9156</v>
      </c>
    </row>
    <row r="476" spans="1:7" x14ac:dyDescent="0.3">
      <c r="A476">
        <v>474</v>
      </c>
      <c r="B476" t="s">
        <v>271</v>
      </c>
      <c r="C476" t="s">
        <v>13</v>
      </c>
      <c r="D476" t="s">
        <v>200</v>
      </c>
      <c r="E476" t="s">
        <v>26</v>
      </c>
      <c r="F476" t="s">
        <v>10</v>
      </c>
      <c r="G476" s="3">
        <f t="shared" ca="1" si="7"/>
        <v>8137</v>
      </c>
    </row>
    <row r="477" spans="1:7" x14ac:dyDescent="0.3">
      <c r="A477">
        <v>475</v>
      </c>
      <c r="B477" t="s">
        <v>271</v>
      </c>
      <c r="C477" t="s">
        <v>13</v>
      </c>
      <c r="D477" t="s">
        <v>317</v>
      </c>
      <c r="E477" t="s">
        <v>19</v>
      </c>
      <c r="F477" t="s">
        <v>19</v>
      </c>
      <c r="G477" s="3">
        <f t="shared" ca="1" si="7"/>
        <v>8501</v>
      </c>
    </row>
    <row r="478" spans="1:7" x14ac:dyDescent="0.3">
      <c r="A478">
        <v>476</v>
      </c>
      <c r="B478" t="s">
        <v>271</v>
      </c>
      <c r="C478" t="s">
        <v>7</v>
      </c>
      <c r="D478" t="s">
        <v>318</v>
      </c>
      <c r="E478" t="s">
        <v>206</v>
      </c>
      <c r="F478" t="s">
        <v>10</v>
      </c>
      <c r="G478" s="3">
        <f t="shared" ca="1" si="7"/>
        <v>8943</v>
      </c>
    </row>
    <row r="479" spans="1:7" x14ac:dyDescent="0.3">
      <c r="A479">
        <v>477</v>
      </c>
      <c r="B479" t="s">
        <v>271</v>
      </c>
      <c r="C479" t="s">
        <v>7</v>
      </c>
      <c r="D479" t="s">
        <v>220</v>
      </c>
      <c r="E479" t="s">
        <v>26</v>
      </c>
      <c r="F479" t="s">
        <v>10</v>
      </c>
      <c r="G479" s="3">
        <f t="shared" ca="1" si="7"/>
        <v>6810</v>
      </c>
    </row>
    <row r="480" spans="1:7" x14ac:dyDescent="0.3">
      <c r="A480">
        <v>478</v>
      </c>
      <c r="B480" t="s">
        <v>271</v>
      </c>
      <c r="C480" t="s">
        <v>7</v>
      </c>
      <c r="D480" t="s">
        <v>311</v>
      </c>
      <c r="E480" t="s">
        <v>312</v>
      </c>
      <c r="F480" t="s">
        <v>10</v>
      </c>
      <c r="G480" s="3">
        <f t="shared" ca="1" si="7"/>
        <v>7262</v>
      </c>
    </row>
    <row r="481" spans="1:7" x14ac:dyDescent="0.3">
      <c r="A481">
        <v>479</v>
      </c>
      <c r="B481" t="s">
        <v>271</v>
      </c>
      <c r="C481" t="s">
        <v>13</v>
      </c>
      <c r="D481" t="s">
        <v>313</v>
      </c>
      <c r="E481" t="s">
        <v>314</v>
      </c>
      <c r="F481" t="s">
        <v>10</v>
      </c>
      <c r="G481" s="3">
        <f t="shared" ca="1" si="7"/>
        <v>11534</v>
      </c>
    </row>
    <row r="482" spans="1:7" x14ac:dyDescent="0.3">
      <c r="A482">
        <v>480</v>
      </c>
      <c r="B482" t="s">
        <v>271</v>
      </c>
      <c r="C482" t="s">
        <v>13</v>
      </c>
      <c r="D482" t="s">
        <v>97</v>
      </c>
      <c r="E482" t="s">
        <v>315</v>
      </c>
      <c r="F482" t="s">
        <v>10</v>
      </c>
      <c r="G482" s="3">
        <f t="shared" ca="1" si="7"/>
        <v>7958</v>
      </c>
    </row>
    <row r="483" spans="1:7" x14ac:dyDescent="0.3">
      <c r="A483">
        <v>481</v>
      </c>
      <c r="B483" t="s">
        <v>271</v>
      </c>
      <c r="C483" t="s">
        <v>7</v>
      </c>
      <c r="D483" t="s">
        <v>54</v>
      </c>
      <c r="E483" t="s">
        <v>316</v>
      </c>
      <c r="F483" t="s">
        <v>10</v>
      </c>
      <c r="G483" s="3">
        <f t="shared" ca="1" si="7"/>
        <v>8190</v>
      </c>
    </row>
    <row r="484" spans="1:7" x14ac:dyDescent="0.3">
      <c r="A484">
        <v>482</v>
      </c>
      <c r="B484" t="s">
        <v>271</v>
      </c>
      <c r="C484" t="s">
        <v>13</v>
      </c>
      <c r="D484" t="s">
        <v>16</v>
      </c>
      <c r="E484" t="s">
        <v>19</v>
      </c>
      <c r="F484" t="s">
        <v>10</v>
      </c>
      <c r="G484" s="3">
        <f t="shared" ca="1" si="7"/>
        <v>7851</v>
      </c>
    </row>
    <row r="485" spans="1:7" x14ac:dyDescent="0.3">
      <c r="A485">
        <v>483</v>
      </c>
      <c r="B485" t="s">
        <v>271</v>
      </c>
      <c r="C485" t="s">
        <v>13</v>
      </c>
      <c r="D485" t="s">
        <v>200</v>
      </c>
      <c r="E485" t="s">
        <v>26</v>
      </c>
      <c r="F485" t="s">
        <v>10</v>
      </c>
      <c r="G485" s="3">
        <f t="shared" ca="1" si="7"/>
        <v>9647</v>
      </c>
    </row>
    <row r="486" spans="1:7" x14ac:dyDescent="0.3">
      <c r="A486">
        <v>484</v>
      </c>
      <c r="B486" t="s">
        <v>271</v>
      </c>
      <c r="C486" t="s">
        <v>13</v>
      </c>
      <c r="D486" t="s">
        <v>317</v>
      </c>
      <c r="E486" t="s">
        <v>19</v>
      </c>
      <c r="F486" t="s">
        <v>19</v>
      </c>
      <c r="G486" s="3">
        <f t="shared" ca="1" si="7"/>
        <v>8808</v>
      </c>
    </row>
    <row r="487" spans="1:7" x14ac:dyDescent="0.3">
      <c r="A487">
        <v>485</v>
      </c>
      <c r="B487" t="s">
        <v>271</v>
      </c>
      <c r="C487" t="s">
        <v>7</v>
      </c>
      <c r="D487" t="s">
        <v>318</v>
      </c>
      <c r="E487" t="s">
        <v>206</v>
      </c>
      <c r="F487" t="s">
        <v>10</v>
      </c>
      <c r="G487" s="3">
        <f t="shared" ca="1" si="7"/>
        <v>6762</v>
      </c>
    </row>
    <row r="488" spans="1:7" x14ac:dyDescent="0.3">
      <c r="A488">
        <v>486</v>
      </c>
      <c r="B488" t="s">
        <v>271</v>
      </c>
      <c r="C488" t="s">
        <v>7</v>
      </c>
      <c r="D488" t="s">
        <v>220</v>
      </c>
      <c r="E488" t="s">
        <v>26</v>
      </c>
      <c r="F488" t="s">
        <v>10</v>
      </c>
      <c r="G488" s="3">
        <f t="shared" ca="1" si="7"/>
        <v>8996</v>
      </c>
    </row>
    <row r="489" spans="1:7" x14ac:dyDescent="0.3">
      <c r="A489">
        <v>487</v>
      </c>
      <c r="B489" t="s">
        <v>271</v>
      </c>
      <c r="C489" t="s">
        <v>24</v>
      </c>
      <c r="D489" t="s">
        <v>95</v>
      </c>
      <c r="E489" t="s">
        <v>96</v>
      </c>
      <c r="F489" t="s">
        <v>10</v>
      </c>
      <c r="G489" s="3">
        <f t="shared" ca="1" si="7"/>
        <v>9954</v>
      </c>
    </row>
    <row r="490" spans="1:7" x14ac:dyDescent="0.3">
      <c r="A490">
        <v>488</v>
      </c>
      <c r="B490" t="s">
        <v>271</v>
      </c>
      <c r="C490" t="s">
        <v>19</v>
      </c>
      <c r="D490" t="s">
        <v>19</v>
      </c>
      <c r="E490" t="s">
        <v>19</v>
      </c>
      <c r="F490" t="s">
        <v>19</v>
      </c>
      <c r="G490" s="3">
        <f t="shared" ca="1" si="7"/>
        <v>10627</v>
      </c>
    </row>
    <row r="491" spans="1:7" x14ac:dyDescent="0.3">
      <c r="A491">
        <v>489</v>
      </c>
      <c r="B491" t="s">
        <v>271</v>
      </c>
      <c r="C491" t="s">
        <v>24</v>
      </c>
      <c r="D491" t="s">
        <v>16</v>
      </c>
      <c r="E491" t="s">
        <v>278</v>
      </c>
      <c r="F491" t="s">
        <v>10</v>
      </c>
      <c r="G491" s="3">
        <f t="shared" ca="1" si="7"/>
        <v>7195</v>
      </c>
    </row>
    <row r="492" spans="1:7" x14ac:dyDescent="0.3">
      <c r="A492">
        <v>490</v>
      </c>
      <c r="B492" t="s">
        <v>271</v>
      </c>
      <c r="C492" t="s">
        <v>13</v>
      </c>
      <c r="D492" t="s">
        <v>319</v>
      </c>
      <c r="E492" t="s">
        <v>19</v>
      </c>
      <c r="F492" t="s">
        <v>10</v>
      </c>
      <c r="G492" s="3">
        <f t="shared" ca="1" si="7"/>
        <v>6991</v>
      </c>
    </row>
    <row r="493" spans="1:7" x14ac:dyDescent="0.3">
      <c r="A493">
        <v>491</v>
      </c>
      <c r="B493" t="s">
        <v>271</v>
      </c>
      <c r="C493" t="s">
        <v>19</v>
      </c>
      <c r="D493" t="s">
        <v>19</v>
      </c>
      <c r="E493" t="s">
        <v>19</v>
      </c>
      <c r="F493" t="s">
        <v>19</v>
      </c>
      <c r="G493" s="3">
        <f t="shared" ca="1" si="7"/>
        <v>8155</v>
      </c>
    </row>
    <row r="494" spans="1:7" x14ac:dyDescent="0.3">
      <c r="A494">
        <v>492</v>
      </c>
      <c r="B494" t="s">
        <v>271</v>
      </c>
      <c r="C494" t="s">
        <v>13</v>
      </c>
      <c r="D494" t="s">
        <v>35</v>
      </c>
      <c r="E494" t="s">
        <v>19</v>
      </c>
      <c r="F494" t="s">
        <v>10</v>
      </c>
      <c r="G494" s="3">
        <f t="shared" ca="1" si="7"/>
        <v>11263</v>
      </c>
    </row>
    <row r="495" spans="1:7" x14ac:dyDescent="0.3">
      <c r="A495">
        <v>493</v>
      </c>
      <c r="B495" t="s">
        <v>271</v>
      </c>
      <c r="C495" t="s">
        <v>24</v>
      </c>
      <c r="D495" t="s">
        <v>142</v>
      </c>
      <c r="E495" t="s">
        <v>126</v>
      </c>
      <c r="F495" t="s">
        <v>10</v>
      </c>
      <c r="G495" s="3">
        <f t="shared" ca="1" si="7"/>
        <v>11247</v>
      </c>
    </row>
    <row r="496" spans="1:7" x14ac:dyDescent="0.3">
      <c r="A496">
        <v>494</v>
      </c>
      <c r="B496" t="s">
        <v>271</v>
      </c>
      <c r="C496" t="s">
        <v>19</v>
      </c>
      <c r="D496" t="s">
        <v>19</v>
      </c>
      <c r="E496" t="s">
        <v>320</v>
      </c>
      <c r="F496" t="s">
        <v>19</v>
      </c>
      <c r="G496" s="3">
        <f t="shared" ca="1" si="7"/>
        <v>10070</v>
      </c>
    </row>
    <row r="497" spans="1:7" x14ac:dyDescent="0.3">
      <c r="A497">
        <v>495</v>
      </c>
      <c r="B497" t="s">
        <v>271</v>
      </c>
      <c r="C497" t="s">
        <v>7</v>
      </c>
      <c r="D497" t="s">
        <v>22</v>
      </c>
      <c r="E497" t="s">
        <v>321</v>
      </c>
      <c r="F497" t="s">
        <v>19</v>
      </c>
      <c r="G497" s="3">
        <f t="shared" ca="1" si="7"/>
        <v>10624</v>
      </c>
    </row>
    <row r="498" spans="1:7" x14ac:dyDescent="0.3">
      <c r="A498">
        <v>496</v>
      </c>
      <c r="B498" t="s">
        <v>271</v>
      </c>
      <c r="C498" t="s">
        <v>24</v>
      </c>
      <c r="D498" t="s">
        <v>107</v>
      </c>
      <c r="E498" t="s">
        <v>108</v>
      </c>
      <c r="F498" t="s">
        <v>10</v>
      </c>
      <c r="G498" s="3">
        <f t="shared" ca="1" si="7"/>
        <v>9571</v>
      </c>
    </row>
    <row r="499" spans="1:7" x14ac:dyDescent="0.3">
      <c r="A499">
        <v>497</v>
      </c>
      <c r="B499" t="s">
        <v>271</v>
      </c>
      <c r="C499" t="s">
        <v>13</v>
      </c>
      <c r="D499" t="s">
        <v>322</v>
      </c>
      <c r="E499" t="s">
        <v>323</v>
      </c>
      <c r="F499" t="s">
        <v>19</v>
      </c>
      <c r="G499" s="3">
        <f t="shared" ca="1" si="7"/>
        <v>8934</v>
      </c>
    </row>
    <row r="500" spans="1:7" x14ac:dyDescent="0.3">
      <c r="A500">
        <v>498</v>
      </c>
      <c r="B500" t="s">
        <v>271</v>
      </c>
      <c r="C500" t="s">
        <v>7</v>
      </c>
      <c r="D500" t="s">
        <v>290</v>
      </c>
      <c r="E500" t="s">
        <v>152</v>
      </c>
      <c r="F500" t="s">
        <v>291</v>
      </c>
      <c r="G500" s="3">
        <f t="shared" ca="1" si="7"/>
        <v>10261</v>
      </c>
    </row>
    <row r="501" spans="1:7" x14ac:dyDescent="0.3">
      <c r="A501">
        <v>499</v>
      </c>
      <c r="B501" t="s">
        <v>271</v>
      </c>
      <c r="C501" t="s">
        <v>7</v>
      </c>
      <c r="D501" t="s">
        <v>324</v>
      </c>
      <c r="E501" t="s">
        <v>325</v>
      </c>
      <c r="F501" t="s">
        <v>10</v>
      </c>
      <c r="G501" s="3">
        <f t="shared" ca="1" si="7"/>
        <v>7093</v>
      </c>
    </row>
    <row r="502" spans="1:7" x14ac:dyDescent="0.3">
      <c r="A502">
        <v>500</v>
      </c>
      <c r="B502" t="s">
        <v>271</v>
      </c>
      <c r="C502" t="s">
        <v>7</v>
      </c>
      <c r="D502" t="s">
        <v>119</v>
      </c>
      <c r="E502" t="s">
        <v>326</v>
      </c>
      <c r="F502" t="s">
        <v>10</v>
      </c>
      <c r="G502" s="3">
        <f t="shared" ca="1" si="7"/>
        <v>10777</v>
      </c>
    </row>
    <row r="503" spans="1:7" x14ac:dyDescent="0.3">
      <c r="A503">
        <v>501</v>
      </c>
      <c r="B503" t="s">
        <v>271</v>
      </c>
      <c r="C503" t="s">
        <v>19</v>
      </c>
      <c r="D503" t="s">
        <v>19</v>
      </c>
      <c r="E503" t="s">
        <v>19</v>
      </c>
      <c r="F503" t="s">
        <v>19</v>
      </c>
      <c r="G503" s="3">
        <f t="shared" ca="1" si="7"/>
        <v>10974</v>
      </c>
    </row>
    <row r="504" spans="1:7" x14ac:dyDescent="0.3">
      <c r="A504">
        <v>502</v>
      </c>
      <c r="B504" t="s">
        <v>271</v>
      </c>
      <c r="C504" t="s">
        <v>13</v>
      </c>
      <c r="D504" t="s">
        <v>8</v>
      </c>
      <c r="E504" t="s">
        <v>19</v>
      </c>
      <c r="F504" t="s">
        <v>19</v>
      </c>
      <c r="G504" s="3">
        <f t="shared" ca="1" si="7"/>
        <v>9154</v>
      </c>
    </row>
    <row r="505" spans="1:7" x14ac:dyDescent="0.3">
      <c r="A505">
        <v>503</v>
      </c>
      <c r="B505" t="s">
        <v>271</v>
      </c>
      <c r="C505" t="s">
        <v>13</v>
      </c>
      <c r="D505" t="s">
        <v>307</v>
      </c>
      <c r="E505" t="s">
        <v>308</v>
      </c>
      <c r="F505" t="s">
        <v>10</v>
      </c>
      <c r="G505" s="3">
        <f t="shared" ca="1" si="7"/>
        <v>9997</v>
      </c>
    </row>
    <row r="506" spans="1:7" x14ac:dyDescent="0.3">
      <c r="A506">
        <v>504</v>
      </c>
      <c r="B506" t="s">
        <v>271</v>
      </c>
      <c r="C506" t="s">
        <v>13</v>
      </c>
      <c r="D506" t="s">
        <v>215</v>
      </c>
      <c r="E506" t="s">
        <v>327</v>
      </c>
      <c r="F506" t="s">
        <v>10</v>
      </c>
      <c r="G506" s="3">
        <f t="shared" ca="1" si="7"/>
        <v>9997</v>
      </c>
    </row>
    <row r="507" spans="1:7" x14ac:dyDescent="0.3">
      <c r="A507">
        <v>505</v>
      </c>
      <c r="B507" t="s">
        <v>271</v>
      </c>
      <c r="C507" t="s">
        <v>19</v>
      </c>
      <c r="D507" t="s">
        <v>19</v>
      </c>
      <c r="E507" t="s">
        <v>19</v>
      </c>
      <c r="F507" t="s">
        <v>19</v>
      </c>
      <c r="G507" s="3">
        <f t="shared" ca="1" si="7"/>
        <v>10356</v>
      </c>
    </row>
    <row r="508" spans="1:7" x14ac:dyDescent="0.3">
      <c r="A508">
        <v>506</v>
      </c>
      <c r="B508" t="s">
        <v>271</v>
      </c>
      <c r="C508" t="s">
        <v>24</v>
      </c>
      <c r="D508" t="s">
        <v>16</v>
      </c>
      <c r="E508" t="s">
        <v>246</v>
      </c>
      <c r="F508" t="s">
        <v>10</v>
      </c>
      <c r="G508" s="3">
        <f t="shared" ca="1" si="7"/>
        <v>10654</v>
      </c>
    </row>
    <row r="509" spans="1:7" x14ac:dyDescent="0.3">
      <c r="A509">
        <v>507</v>
      </c>
      <c r="B509" t="s">
        <v>271</v>
      </c>
      <c r="C509" t="s">
        <v>24</v>
      </c>
      <c r="D509" t="s">
        <v>16</v>
      </c>
      <c r="E509" t="s">
        <v>197</v>
      </c>
      <c r="F509" t="s">
        <v>10</v>
      </c>
      <c r="G509" s="3">
        <f t="shared" ca="1" si="7"/>
        <v>11686</v>
      </c>
    </row>
    <row r="510" spans="1:7" x14ac:dyDescent="0.3">
      <c r="A510">
        <v>508</v>
      </c>
      <c r="B510" t="s">
        <v>271</v>
      </c>
      <c r="C510" t="s">
        <v>19</v>
      </c>
      <c r="D510" t="s">
        <v>19</v>
      </c>
      <c r="E510" t="s">
        <v>19</v>
      </c>
      <c r="F510" t="s">
        <v>19</v>
      </c>
      <c r="G510" s="3">
        <f t="shared" ca="1" si="7"/>
        <v>9237</v>
      </c>
    </row>
    <row r="511" spans="1:7" x14ac:dyDescent="0.3">
      <c r="A511">
        <v>509</v>
      </c>
      <c r="B511" t="s">
        <v>271</v>
      </c>
      <c r="C511" t="s">
        <v>13</v>
      </c>
      <c r="D511" t="s">
        <v>328</v>
      </c>
      <c r="E511" t="s">
        <v>329</v>
      </c>
      <c r="F511" t="s">
        <v>19</v>
      </c>
      <c r="G511" s="3">
        <f t="shared" ca="1" si="7"/>
        <v>9961</v>
      </c>
    </row>
    <row r="512" spans="1:7" x14ac:dyDescent="0.3">
      <c r="A512">
        <v>510</v>
      </c>
      <c r="B512" t="s">
        <v>271</v>
      </c>
      <c r="C512" t="s">
        <v>24</v>
      </c>
      <c r="D512" t="s">
        <v>95</v>
      </c>
      <c r="E512" t="s">
        <v>46</v>
      </c>
      <c r="F512" t="s">
        <v>10</v>
      </c>
      <c r="G512" s="3">
        <f t="shared" ca="1" si="7"/>
        <v>8802</v>
      </c>
    </row>
    <row r="513" spans="1:7" x14ac:dyDescent="0.3">
      <c r="A513">
        <v>511</v>
      </c>
      <c r="B513" t="s">
        <v>271</v>
      </c>
      <c r="C513" t="s">
        <v>7</v>
      </c>
      <c r="D513" t="s">
        <v>302</v>
      </c>
      <c r="E513" t="s">
        <v>183</v>
      </c>
      <c r="F513" t="s">
        <v>10</v>
      </c>
      <c r="G513" s="3">
        <f t="shared" ca="1" si="7"/>
        <v>11608</v>
      </c>
    </row>
    <row r="514" spans="1:7" x14ac:dyDescent="0.3">
      <c r="A514">
        <v>512</v>
      </c>
      <c r="B514" t="s">
        <v>271</v>
      </c>
      <c r="C514" t="s">
        <v>7</v>
      </c>
      <c r="D514" t="s">
        <v>16</v>
      </c>
      <c r="E514" t="s">
        <v>77</v>
      </c>
      <c r="F514" t="s">
        <v>159</v>
      </c>
      <c r="G514" s="3">
        <f t="shared" ref="G514:G577" ca="1" si="8">RANDBETWEEN(6500,12000)</f>
        <v>9352</v>
      </c>
    </row>
    <row r="515" spans="1:7" x14ac:dyDescent="0.3">
      <c r="A515">
        <v>513</v>
      </c>
      <c r="B515" t="s">
        <v>271</v>
      </c>
      <c r="C515" t="s">
        <v>7</v>
      </c>
      <c r="D515" t="s">
        <v>257</v>
      </c>
      <c r="E515" t="s">
        <v>153</v>
      </c>
      <c r="F515" t="s">
        <v>10</v>
      </c>
      <c r="G515" s="3">
        <f t="shared" ca="1" si="8"/>
        <v>8672</v>
      </c>
    </row>
    <row r="516" spans="1:7" x14ac:dyDescent="0.3">
      <c r="A516">
        <v>514</v>
      </c>
      <c r="B516" t="s">
        <v>271</v>
      </c>
      <c r="C516" t="s">
        <v>13</v>
      </c>
      <c r="D516" t="s">
        <v>97</v>
      </c>
      <c r="E516" t="s">
        <v>153</v>
      </c>
      <c r="F516" t="s">
        <v>10</v>
      </c>
      <c r="G516" s="3">
        <f t="shared" ca="1" si="8"/>
        <v>8404</v>
      </c>
    </row>
    <row r="517" spans="1:7" x14ac:dyDescent="0.3">
      <c r="A517">
        <v>515</v>
      </c>
      <c r="B517" t="s">
        <v>271</v>
      </c>
      <c r="C517" t="s">
        <v>13</v>
      </c>
      <c r="D517" t="s">
        <v>330</v>
      </c>
      <c r="E517" t="s">
        <v>331</v>
      </c>
      <c r="F517" t="s">
        <v>291</v>
      </c>
      <c r="G517" s="3">
        <f t="shared" ca="1" si="8"/>
        <v>9769</v>
      </c>
    </row>
    <row r="518" spans="1:7" x14ac:dyDescent="0.3">
      <c r="A518">
        <v>516</v>
      </c>
      <c r="B518" t="s">
        <v>271</v>
      </c>
      <c r="C518" t="s">
        <v>24</v>
      </c>
      <c r="D518" t="s">
        <v>255</v>
      </c>
      <c r="E518" t="s">
        <v>153</v>
      </c>
      <c r="F518" t="s">
        <v>10</v>
      </c>
      <c r="G518" s="3">
        <f t="shared" ca="1" si="8"/>
        <v>11702</v>
      </c>
    </row>
    <row r="519" spans="1:7" x14ac:dyDescent="0.3">
      <c r="A519">
        <v>517</v>
      </c>
      <c r="B519" t="s">
        <v>271</v>
      </c>
      <c r="C519" t="s">
        <v>24</v>
      </c>
      <c r="D519" t="s">
        <v>119</v>
      </c>
      <c r="E519" t="s">
        <v>332</v>
      </c>
      <c r="F519" t="s">
        <v>10</v>
      </c>
      <c r="G519" s="3">
        <f t="shared" ca="1" si="8"/>
        <v>10162</v>
      </c>
    </row>
    <row r="520" spans="1:7" x14ac:dyDescent="0.3">
      <c r="A520">
        <v>518</v>
      </c>
      <c r="B520" t="s">
        <v>271</v>
      </c>
      <c r="C520" t="s">
        <v>7</v>
      </c>
      <c r="D520" t="s">
        <v>8</v>
      </c>
      <c r="E520" t="s">
        <v>333</v>
      </c>
      <c r="F520" t="s">
        <v>10</v>
      </c>
      <c r="G520" s="3">
        <f t="shared" ca="1" si="8"/>
        <v>8784</v>
      </c>
    </row>
    <row r="521" spans="1:7" x14ac:dyDescent="0.3">
      <c r="A521">
        <v>519</v>
      </c>
      <c r="B521" t="s">
        <v>271</v>
      </c>
      <c r="C521" t="s">
        <v>13</v>
      </c>
      <c r="D521" t="s">
        <v>119</v>
      </c>
      <c r="E521" t="s">
        <v>120</v>
      </c>
      <c r="F521" t="s">
        <v>10</v>
      </c>
      <c r="G521" s="3">
        <f t="shared" ca="1" si="8"/>
        <v>9575</v>
      </c>
    </row>
    <row r="522" spans="1:7" x14ac:dyDescent="0.3">
      <c r="A522">
        <v>520</v>
      </c>
      <c r="B522" t="s">
        <v>271</v>
      </c>
      <c r="C522" t="s">
        <v>7</v>
      </c>
      <c r="D522" t="s">
        <v>140</v>
      </c>
      <c r="E522" t="s">
        <v>19</v>
      </c>
      <c r="F522" t="s">
        <v>10</v>
      </c>
      <c r="G522" s="3">
        <f t="shared" ca="1" si="8"/>
        <v>9029</v>
      </c>
    </row>
    <row r="523" spans="1:7" x14ac:dyDescent="0.3">
      <c r="A523">
        <v>521</v>
      </c>
      <c r="B523" t="s">
        <v>271</v>
      </c>
      <c r="C523" t="s">
        <v>13</v>
      </c>
      <c r="D523" t="s">
        <v>208</v>
      </c>
      <c r="E523" t="s">
        <v>209</v>
      </c>
      <c r="F523" t="s">
        <v>10</v>
      </c>
      <c r="G523" s="3">
        <f t="shared" ca="1" si="8"/>
        <v>11349</v>
      </c>
    </row>
    <row r="524" spans="1:7" x14ac:dyDescent="0.3">
      <c r="A524">
        <v>522</v>
      </c>
      <c r="B524" t="s">
        <v>271</v>
      </c>
      <c r="C524" t="s">
        <v>7</v>
      </c>
      <c r="D524" t="s">
        <v>43</v>
      </c>
      <c r="E524" t="s">
        <v>334</v>
      </c>
      <c r="F524" t="s">
        <v>10</v>
      </c>
      <c r="G524" s="3">
        <f t="shared" ca="1" si="8"/>
        <v>9818</v>
      </c>
    </row>
    <row r="525" spans="1:7" x14ac:dyDescent="0.3">
      <c r="A525">
        <v>523</v>
      </c>
      <c r="B525" t="s">
        <v>271</v>
      </c>
      <c r="C525" t="s">
        <v>7</v>
      </c>
      <c r="D525" t="s">
        <v>335</v>
      </c>
      <c r="E525" t="s">
        <v>336</v>
      </c>
      <c r="F525" t="s">
        <v>19</v>
      </c>
      <c r="G525" s="3">
        <f t="shared" ca="1" si="8"/>
        <v>9170</v>
      </c>
    </row>
    <row r="526" spans="1:7" x14ac:dyDescent="0.3">
      <c r="A526">
        <v>524</v>
      </c>
      <c r="B526" t="s">
        <v>271</v>
      </c>
      <c r="C526" t="s">
        <v>7</v>
      </c>
      <c r="D526" t="s">
        <v>140</v>
      </c>
      <c r="E526" t="s">
        <v>19</v>
      </c>
      <c r="F526" t="s">
        <v>10</v>
      </c>
      <c r="G526" s="3">
        <f t="shared" ca="1" si="8"/>
        <v>8078</v>
      </c>
    </row>
    <row r="527" spans="1:7" x14ac:dyDescent="0.3">
      <c r="A527">
        <v>525</v>
      </c>
      <c r="B527" t="s">
        <v>271</v>
      </c>
      <c r="C527" t="s">
        <v>13</v>
      </c>
      <c r="D527" t="s">
        <v>337</v>
      </c>
      <c r="E527" t="s">
        <v>338</v>
      </c>
      <c r="F527" t="s">
        <v>291</v>
      </c>
      <c r="G527" s="3">
        <f t="shared" ca="1" si="8"/>
        <v>11226</v>
      </c>
    </row>
    <row r="528" spans="1:7" x14ac:dyDescent="0.3">
      <c r="A528">
        <v>526</v>
      </c>
      <c r="B528" t="s">
        <v>271</v>
      </c>
      <c r="C528" t="s">
        <v>13</v>
      </c>
      <c r="D528" t="s">
        <v>339</v>
      </c>
      <c r="E528" t="s">
        <v>275</v>
      </c>
      <c r="F528" t="s">
        <v>10</v>
      </c>
      <c r="G528" s="3">
        <f t="shared" ca="1" si="8"/>
        <v>7258</v>
      </c>
    </row>
    <row r="529" spans="1:7" x14ac:dyDescent="0.3">
      <c r="A529">
        <v>527</v>
      </c>
      <c r="B529" t="s">
        <v>271</v>
      </c>
      <c r="C529" t="s">
        <v>7</v>
      </c>
      <c r="D529" t="s">
        <v>105</v>
      </c>
      <c r="E529" t="s">
        <v>226</v>
      </c>
      <c r="F529" t="s">
        <v>10</v>
      </c>
      <c r="G529" s="3">
        <f t="shared" ca="1" si="8"/>
        <v>6830</v>
      </c>
    </row>
    <row r="530" spans="1:7" x14ac:dyDescent="0.3">
      <c r="A530">
        <v>528</v>
      </c>
      <c r="B530" t="s">
        <v>271</v>
      </c>
      <c r="C530" t="s">
        <v>7</v>
      </c>
      <c r="D530" t="s">
        <v>146</v>
      </c>
      <c r="E530" t="s">
        <v>19</v>
      </c>
      <c r="F530" t="s">
        <v>10</v>
      </c>
      <c r="G530" s="3">
        <f t="shared" ca="1" si="8"/>
        <v>9022</v>
      </c>
    </row>
    <row r="531" spans="1:7" x14ac:dyDescent="0.3">
      <c r="A531">
        <v>529</v>
      </c>
      <c r="B531" t="s">
        <v>271</v>
      </c>
      <c r="C531" t="s">
        <v>24</v>
      </c>
      <c r="D531" t="s">
        <v>200</v>
      </c>
      <c r="E531" t="s">
        <v>284</v>
      </c>
      <c r="F531" t="s">
        <v>10</v>
      </c>
      <c r="G531" s="3">
        <f t="shared" ca="1" si="8"/>
        <v>8549</v>
      </c>
    </row>
    <row r="532" spans="1:7" x14ac:dyDescent="0.3">
      <c r="A532">
        <v>530</v>
      </c>
      <c r="B532" t="s">
        <v>271</v>
      </c>
      <c r="C532" t="s">
        <v>13</v>
      </c>
      <c r="D532" t="s">
        <v>16</v>
      </c>
      <c r="E532" t="s">
        <v>19</v>
      </c>
      <c r="F532" t="s">
        <v>31</v>
      </c>
      <c r="G532" s="3">
        <f t="shared" ca="1" si="8"/>
        <v>10273</v>
      </c>
    </row>
    <row r="533" spans="1:7" x14ac:dyDescent="0.3">
      <c r="A533">
        <v>531</v>
      </c>
      <c r="B533" t="s">
        <v>271</v>
      </c>
      <c r="C533" t="s">
        <v>7</v>
      </c>
      <c r="D533" t="s">
        <v>19</v>
      </c>
      <c r="E533" t="s">
        <v>171</v>
      </c>
      <c r="F533" t="s">
        <v>10</v>
      </c>
      <c r="G533" s="3">
        <f t="shared" ca="1" si="8"/>
        <v>10053</v>
      </c>
    </row>
    <row r="534" spans="1:7" x14ac:dyDescent="0.3">
      <c r="A534">
        <v>532</v>
      </c>
      <c r="B534" t="s">
        <v>271</v>
      </c>
      <c r="C534" t="s">
        <v>7</v>
      </c>
      <c r="D534" t="s">
        <v>43</v>
      </c>
      <c r="E534" t="s">
        <v>334</v>
      </c>
      <c r="F534" t="s">
        <v>10</v>
      </c>
      <c r="G534" s="3">
        <f t="shared" ca="1" si="8"/>
        <v>6620</v>
      </c>
    </row>
    <row r="535" spans="1:7" x14ac:dyDescent="0.3">
      <c r="A535">
        <v>533</v>
      </c>
      <c r="B535" t="s">
        <v>271</v>
      </c>
      <c r="C535" t="s">
        <v>13</v>
      </c>
      <c r="D535" t="s">
        <v>94</v>
      </c>
      <c r="E535" t="s">
        <v>75</v>
      </c>
      <c r="F535" t="s">
        <v>19</v>
      </c>
      <c r="G535" s="3">
        <f t="shared" ca="1" si="8"/>
        <v>9162</v>
      </c>
    </row>
    <row r="536" spans="1:7" x14ac:dyDescent="0.3">
      <c r="A536">
        <v>534</v>
      </c>
      <c r="B536" t="s">
        <v>271</v>
      </c>
      <c r="C536" t="s">
        <v>7</v>
      </c>
      <c r="D536" t="s">
        <v>8</v>
      </c>
      <c r="E536" t="s">
        <v>164</v>
      </c>
      <c r="F536" t="s">
        <v>10</v>
      </c>
      <c r="G536" s="3">
        <f t="shared" ca="1" si="8"/>
        <v>7872</v>
      </c>
    </row>
    <row r="537" spans="1:7" x14ac:dyDescent="0.3">
      <c r="A537">
        <v>535</v>
      </c>
      <c r="B537" t="s">
        <v>60</v>
      </c>
      <c r="C537" t="s">
        <v>13</v>
      </c>
      <c r="D537" t="s">
        <v>212</v>
      </c>
      <c r="E537" t="s">
        <v>340</v>
      </c>
      <c r="F537" t="s">
        <v>31</v>
      </c>
      <c r="G537" s="3">
        <f t="shared" ca="1" si="8"/>
        <v>9243</v>
      </c>
    </row>
    <row r="538" spans="1:7" x14ac:dyDescent="0.3">
      <c r="A538">
        <v>536</v>
      </c>
      <c r="B538" t="s">
        <v>60</v>
      </c>
      <c r="C538" t="s">
        <v>13</v>
      </c>
      <c r="D538" t="s">
        <v>328</v>
      </c>
      <c r="E538" t="s">
        <v>149</v>
      </c>
      <c r="F538" t="s">
        <v>10</v>
      </c>
      <c r="G538" s="3">
        <f t="shared" ca="1" si="8"/>
        <v>9275</v>
      </c>
    </row>
    <row r="539" spans="1:7" x14ac:dyDescent="0.3">
      <c r="A539">
        <v>537</v>
      </c>
      <c r="B539" t="s">
        <v>60</v>
      </c>
      <c r="C539" t="s">
        <v>7</v>
      </c>
      <c r="D539" t="s">
        <v>166</v>
      </c>
      <c r="E539" t="s">
        <v>149</v>
      </c>
      <c r="F539" t="s">
        <v>10</v>
      </c>
      <c r="G539" s="3">
        <f t="shared" ca="1" si="8"/>
        <v>10825</v>
      </c>
    </row>
    <row r="540" spans="1:7" x14ac:dyDescent="0.3">
      <c r="A540">
        <v>538</v>
      </c>
      <c r="B540" t="s">
        <v>60</v>
      </c>
      <c r="C540" t="s">
        <v>7</v>
      </c>
      <c r="D540" t="s">
        <v>19</v>
      </c>
      <c r="E540" t="s">
        <v>341</v>
      </c>
      <c r="F540" t="s">
        <v>10</v>
      </c>
      <c r="G540" s="3">
        <f t="shared" ca="1" si="8"/>
        <v>11643</v>
      </c>
    </row>
    <row r="541" spans="1:7" x14ac:dyDescent="0.3">
      <c r="A541">
        <v>539</v>
      </c>
      <c r="B541" t="s">
        <v>60</v>
      </c>
      <c r="C541" t="s">
        <v>24</v>
      </c>
      <c r="D541" t="s">
        <v>342</v>
      </c>
      <c r="E541" t="s">
        <v>343</v>
      </c>
      <c r="F541" t="s">
        <v>10</v>
      </c>
      <c r="G541" s="3">
        <f t="shared" ca="1" si="8"/>
        <v>11746</v>
      </c>
    </row>
    <row r="542" spans="1:7" x14ac:dyDescent="0.3">
      <c r="A542">
        <v>540</v>
      </c>
      <c r="B542" t="s">
        <v>60</v>
      </c>
      <c r="C542" t="s">
        <v>13</v>
      </c>
      <c r="D542" t="s">
        <v>344</v>
      </c>
      <c r="E542" t="s">
        <v>345</v>
      </c>
      <c r="F542" t="s">
        <v>10</v>
      </c>
      <c r="G542" s="3">
        <f t="shared" ca="1" si="8"/>
        <v>10899</v>
      </c>
    </row>
    <row r="543" spans="1:7" x14ac:dyDescent="0.3">
      <c r="A543">
        <v>541</v>
      </c>
      <c r="B543" t="s">
        <v>60</v>
      </c>
      <c r="C543" t="s">
        <v>7</v>
      </c>
      <c r="D543" t="s">
        <v>346</v>
      </c>
      <c r="E543" t="s">
        <v>347</v>
      </c>
      <c r="F543" t="s">
        <v>10</v>
      </c>
      <c r="G543" s="3">
        <f t="shared" ca="1" si="8"/>
        <v>7970</v>
      </c>
    </row>
    <row r="544" spans="1:7" x14ac:dyDescent="0.3">
      <c r="A544">
        <v>542</v>
      </c>
      <c r="B544" t="s">
        <v>60</v>
      </c>
      <c r="C544" t="s">
        <v>13</v>
      </c>
      <c r="D544" t="s">
        <v>100</v>
      </c>
      <c r="E544" t="s">
        <v>164</v>
      </c>
      <c r="F544" t="s">
        <v>10</v>
      </c>
      <c r="G544" s="3">
        <f t="shared" ca="1" si="8"/>
        <v>9371</v>
      </c>
    </row>
    <row r="545" spans="1:7" x14ac:dyDescent="0.3">
      <c r="A545">
        <v>543</v>
      </c>
      <c r="B545" t="s">
        <v>60</v>
      </c>
      <c r="C545" t="s">
        <v>7</v>
      </c>
      <c r="D545" t="s">
        <v>348</v>
      </c>
      <c r="E545" t="s">
        <v>153</v>
      </c>
      <c r="F545" t="s">
        <v>10</v>
      </c>
      <c r="G545" s="3">
        <f t="shared" ca="1" si="8"/>
        <v>10226</v>
      </c>
    </row>
    <row r="546" spans="1:7" x14ac:dyDescent="0.3">
      <c r="A546">
        <v>544</v>
      </c>
      <c r="B546" t="s">
        <v>60</v>
      </c>
      <c r="C546" t="s">
        <v>13</v>
      </c>
      <c r="D546" t="s">
        <v>212</v>
      </c>
      <c r="E546" t="s">
        <v>19</v>
      </c>
      <c r="F546" t="s">
        <v>31</v>
      </c>
      <c r="G546" s="3">
        <f t="shared" ca="1" si="8"/>
        <v>8308</v>
      </c>
    </row>
    <row r="547" spans="1:7" x14ac:dyDescent="0.3">
      <c r="A547">
        <v>545</v>
      </c>
      <c r="B547" t="s">
        <v>60</v>
      </c>
      <c r="C547" t="s">
        <v>13</v>
      </c>
      <c r="D547" t="s">
        <v>307</v>
      </c>
      <c r="E547" t="s">
        <v>349</v>
      </c>
      <c r="F547" t="s">
        <v>10</v>
      </c>
      <c r="G547" s="3">
        <f t="shared" ca="1" si="8"/>
        <v>7748</v>
      </c>
    </row>
    <row r="548" spans="1:7" x14ac:dyDescent="0.3">
      <c r="A548">
        <v>546</v>
      </c>
      <c r="B548" t="s">
        <v>60</v>
      </c>
      <c r="C548" t="s">
        <v>13</v>
      </c>
      <c r="D548" t="s">
        <v>328</v>
      </c>
      <c r="E548" t="s">
        <v>149</v>
      </c>
      <c r="F548" t="s">
        <v>10</v>
      </c>
      <c r="G548" s="3">
        <f t="shared" ca="1" si="8"/>
        <v>10434</v>
      </c>
    </row>
    <row r="549" spans="1:7" x14ac:dyDescent="0.3">
      <c r="A549">
        <v>547</v>
      </c>
      <c r="B549" t="s">
        <v>60</v>
      </c>
      <c r="C549" t="s">
        <v>7</v>
      </c>
      <c r="D549" t="s">
        <v>166</v>
      </c>
      <c r="E549" t="s">
        <v>149</v>
      </c>
      <c r="F549" t="s">
        <v>10</v>
      </c>
      <c r="G549" s="3">
        <f t="shared" ca="1" si="8"/>
        <v>8094</v>
      </c>
    </row>
    <row r="550" spans="1:7" x14ac:dyDescent="0.3">
      <c r="A550">
        <v>548</v>
      </c>
      <c r="B550" t="s">
        <v>60</v>
      </c>
      <c r="C550" t="s">
        <v>7</v>
      </c>
      <c r="D550" t="s">
        <v>19</v>
      </c>
      <c r="E550" t="s">
        <v>341</v>
      </c>
      <c r="F550" t="s">
        <v>10</v>
      </c>
      <c r="G550" s="3">
        <f t="shared" ca="1" si="8"/>
        <v>8061</v>
      </c>
    </row>
    <row r="551" spans="1:7" x14ac:dyDescent="0.3">
      <c r="A551">
        <v>549</v>
      </c>
      <c r="B551" t="s">
        <v>60</v>
      </c>
      <c r="C551" t="s">
        <v>13</v>
      </c>
      <c r="D551" t="s">
        <v>344</v>
      </c>
      <c r="E551" t="s">
        <v>345</v>
      </c>
      <c r="F551" t="s">
        <v>10</v>
      </c>
      <c r="G551" s="3">
        <f t="shared" ca="1" si="8"/>
        <v>6693</v>
      </c>
    </row>
    <row r="552" spans="1:7" x14ac:dyDescent="0.3">
      <c r="A552">
        <v>550</v>
      </c>
      <c r="B552" t="s">
        <v>60</v>
      </c>
      <c r="C552" t="s">
        <v>7</v>
      </c>
      <c r="D552" t="s">
        <v>346</v>
      </c>
      <c r="E552" t="s">
        <v>347</v>
      </c>
      <c r="F552" t="s">
        <v>10</v>
      </c>
      <c r="G552" s="3">
        <f t="shared" ca="1" si="8"/>
        <v>11840</v>
      </c>
    </row>
    <row r="553" spans="1:7" x14ac:dyDescent="0.3">
      <c r="A553">
        <v>551</v>
      </c>
      <c r="B553" t="s">
        <v>60</v>
      </c>
      <c r="C553" t="s">
        <v>7</v>
      </c>
      <c r="D553" t="s">
        <v>348</v>
      </c>
      <c r="E553" t="s">
        <v>153</v>
      </c>
      <c r="F553" t="s">
        <v>10</v>
      </c>
      <c r="G553" s="3">
        <f t="shared" ca="1" si="8"/>
        <v>11823</v>
      </c>
    </row>
    <row r="554" spans="1:7" x14ac:dyDescent="0.3">
      <c r="A554">
        <v>552</v>
      </c>
      <c r="B554" t="s">
        <v>60</v>
      </c>
      <c r="C554" t="s">
        <v>13</v>
      </c>
      <c r="D554" t="s">
        <v>169</v>
      </c>
      <c r="E554" t="s">
        <v>60</v>
      </c>
      <c r="F554" t="s">
        <v>10</v>
      </c>
      <c r="G554" s="3">
        <f t="shared" ca="1" si="8"/>
        <v>11510</v>
      </c>
    </row>
    <row r="555" spans="1:7" x14ac:dyDescent="0.3">
      <c r="A555">
        <v>553</v>
      </c>
      <c r="B555" t="s">
        <v>60</v>
      </c>
      <c r="C555" t="s">
        <v>13</v>
      </c>
      <c r="D555" t="s">
        <v>212</v>
      </c>
      <c r="E555" t="s">
        <v>340</v>
      </c>
      <c r="F555" t="s">
        <v>31</v>
      </c>
      <c r="G555" s="3">
        <f t="shared" ca="1" si="8"/>
        <v>10743</v>
      </c>
    </row>
    <row r="556" spans="1:7" x14ac:dyDescent="0.3">
      <c r="A556">
        <v>554</v>
      </c>
      <c r="B556" t="s">
        <v>60</v>
      </c>
      <c r="C556" t="s">
        <v>13</v>
      </c>
      <c r="D556" t="s">
        <v>307</v>
      </c>
      <c r="E556" t="s">
        <v>349</v>
      </c>
      <c r="F556" t="s">
        <v>10</v>
      </c>
      <c r="G556" s="3">
        <f t="shared" ca="1" si="8"/>
        <v>6739</v>
      </c>
    </row>
    <row r="557" spans="1:7" x14ac:dyDescent="0.3">
      <c r="A557">
        <v>555</v>
      </c>
      <c r="B557" t="s">
        <v>60</v>
      </c>
      <c r="C557" t="s">
        <v>13</v>
      </c>
      <c r="D557" t="s">
        <v>328</v>
      </c>
      <c r="E557" t="s">
        <v>149</v>
      </c>
      <c r="F557" t="s">
        <v>10</v>
      </c>
      <c r="G557" s="3">
        <f t="shared" ca="1" si="8"/>
        <v>6943</v>
      </c>
    </row>
    <row r="558" spans="1:7" x14ac:dyDescent="0.3">
      <c r="A558">
        <v>556</v>
      </c>
      <c r="B558" t="s">
        <v>60</v>
      </c>
      <c r="C558" t="s">
        <v>7</v>
      </c>
      <c r="D558" t="s">
        <v>166</v>
      </c>
      <c r="E558" t="s">
        <v>149</v>
      </c>
      <c r="F558" t="s">
        <v>10</v>
      </c>
      <c r="G558" s="3">
        <f t="shared" ca="1" si="8"/>
        <v>11056</v>
      </c>
    </row>
    <row r="559" spans="1:7" x14ac:dyDescent="0.3">
      <c r="A559">
        <v>557</v>
      </c>
      <c r="B559" t="s">
        <v>60</v>
      </c>
      <c r="C559" t="s">
        <v>7</v>
      </c>
      <c r="D559" t="s">
        <v>19</v>
      </c>
      <c r="E559" t="s">
        <v>341</v>
      </c>
      <c r="F559" t="s">
        <v>10</v>
      </c>
      <c r="G559" s="3">
        <f t="shared" ca="1" si="8"/>
        <v>7286</v>
      </c>
    </row>
    <row r="560" spans="1:7" x14ac:dyDescent="0.3">
      <c r="A560">
        <v>558</v>
      </c>
      <c r="B560" t="s">
        <v>60</v>
      </c>
      <c r="C560" t="s">
        <v>13</v>
      </c>
      <c r="D560" t="s">
        <v>344</v>
      </c>
      <c r="E560" t="s">
        <v>345</v>
      </c>
      <c r="F560" t="s">
        <v>10</v>
      </c>
      <c r="G560" s="3">
        <f t="shared" ca="1" si="8"/>
        <v>11588</v>
      </c>
    </row>
    <row r="561" spans="1:7" x14ac:dyDescent="0.3">
      <c r="A561">
        <v>559</v>
      </c>
      <c r="B561" t="s">
        <v>60</v>
      </c>
      <c r="C561" t="s">
        <v>7</v>
      </c>
      <c r="D561" t="s">
        <v>346</v>
      </c>
      <c r="E561" t="s">
        <v>347</v>
      </c>
      <c r="F561" t="s">
        <v>10</v>
      </c>
      <c r="G561" s="3">
        <f t="shared" ca="1" si="8"/>
        <v>9224</v>
      </c>
    </row>
    <row r="562" spans="1:7" x14ac:dyDescent="0.3">
      <c r="A562">
        <v>560</v>
      </c>
      <c r="B562" t="s">
        <v>60</v>
      </c>
      <c r="C562" t="s">
        <v>7</v>
      </c>
      <c r="D562" t="s">
        <v>348</v>
      </c>
      <c r="E562" t="s">
        <v>153</v>
      </c>
      <c r="F562" t="s">
        <v>10</v>
      </c>
      <c r="G562" s="3">
        <f t="shared" ca="1" si="8"/>
        <v>10534</v>
      </c>
    </row>
    <row r="563" spans="1:7" x14ac:dyDescent="0.3">
      <c r="A563">
        <v>561</v>
      </c>
      <c r="B563" t="s">
        <v>60</v>
      </c>
      <c r="C563" t="s">
        <v>13</v>
      </c>
      <c r="D563" t="s">
        <v>169</v>
      </c>
      <c r="E563" t="s">
        <v>60</v>
      </c>
      <c r="F563" t="s">
        <v>10</v>
      </c>
      <c r="G563" s="3">
        <f t="shared" ca="1" si="8"/>
        <v>6562</v>
      </c>
    </row>
    <row r="564" spans="1:7" x14ac:dyDescent="0.3">
      <c r="A564">
        <v>562</v>
      </c>
      <c r="B564" t="s">
        <v>60</v>
      </c>
      <c r="C564" t="s">
        <v>13</v>
      </c>
      <c r="D564" t="s">
        <v>350</v>
      </c>
      <c r="E564" t="s">
        <v>19</v>
      </c>
      <c r="F564" t="s">
        <v>10</v>
      </c>
      <c r="G564" s="3">
        <f t="shared" ca="1" si="8"/>
        <v>11134</v>
      </c>
    </row>
    <row r="565" spans="1:7" x14ac:dyDescent="0.3">
      <c r="A565">
        <v>563</v>
      </c>
      <c r="B565" t="s">
        <v>60</v>
      </c>
      <c r="C565" t="s">
        <v>24</v>
      </c>
      <c r="D565" t="s">
        <v>342</v>
      </c>
      <c r="E565" t="s">
        <v>343</v>
      </c>
      <c r="F565" t="s">
        <v>10</v>
      </c>
      <c r="G565" s="3">
        <f t="shared" ca="1" si="8"/>
        <v>11739</v>
      </c>
    </row>
    <row r="566" spans="1:7" x14ac:dyDescent="0.3">
      <c r="A566">
        <v>564</v>
      </c>
      <c r="B566" t="s">
        <v>60</v>
      </c>
      <c r="C566" t="s">
        <v>13</v>
      </c>
      <c r="D566" t="s">
        <v>344</v>
      </c>
      <c r="E566" t="s">
        <v>345</v>
      </c>
      <c r="F566" t="s">
        <v>10</v>
      </c>
      <c r="G566" s="3">
        <f t="shared" ca="1" si="8"/>
        <v>11353</v>
      </c>
    </row>
    <row r="567" spans="1:7" x14ac:dyDescent="0.3">
      <c r="A567">
        <v>565</v>
      </c>
      <c r="B567" t="s">
        <v>60</v>
      </c>
      <c r="C567" t="s">
        <v>13</v>
      </c>
      <c r="D567" t="s">
        <v>351</v>
      </c>
      <c r="E567" t="s">
        <v>352</v>
      </c>
      <c r="F567" t="s">
        <v>10</v>
      </c>
      <c r="G567" s="3">
        <f t="shared" ca="1" si="8"/>
        <v>11553</v>
      </c>
    </row>
    <row r="568" spans="1:7" x14ac:dyDescent="0.3">
      <c r="A568">
        <v>566</v>
      </c>
      <c r="B568" t="s">
        <v>60</v>
      </c>
      <c r="C568" t="s">
        <v>24</v>
      </c>
      <c r="D568" t="s">
        <v>181</v>
      </c>
      <c r="E568" t="s">
        <v>166</v>
      </c>
      <c r="F568" t="s">
        <v>19</v>
      </c>
      <c r="G568" s="3">
        <f t="shared" ca="1" si="8"/>
        <v>8878</v>
      </c>
    </row>
    <row r="569" spans="1:7" x14ac:dyDescent="0.3">
      <c r="A569">
        <v>567</v>
      </c>
      <c r="B569" t="s">
        <v>60</v>
      </c>
      <c r="C569" t="s">
        <v>7</v>
      </c>
      <c r="D569" t="s">
        <v>353</v>
      </c>
      <c r="E569" t="s">
        <v>19</v>
      </c>
      <c r="F569" t="s">
        <v>19</v>
      </c>
      <c r="G569" s="3">
        <f t="shared" ca="1" si="8"/>
        <v>10388</v>
      </c>
    </row>
    <row r="570" spans="1:7" x14ac:dyDescent="0.3">
      <c r="A570">
        <v>568</v>
      </c>
      <c r="B570" t="s">
        <v>60</v>
      </c>
      <c r="C570" t="s">
        <v>13</v>
      </c>
      <c r="D570" t="s">
        <v>169</v>
      </c>
      <c r="E570" t="s">
        <v>48</v>
      </c>
      <c r="F570" t="s">
        <v>10</v>
      </c>
      <c r="G570" s="3">
        <f t="shared" ca="1" si="8"/>
        <v>6517</v>
      </c>
    </row>
    <row r="571" spans="1:7" x14ac:dyDescent="0.3">
      <c r="A571">
        <v>569</v>
      </c>
      <c r="B571" t="s">
        <v>60</v>
      </c>
      <c r="C571" t="s">
        <v>7</v>
      </c>
      <c r="D571" t="s">
        <v>354</v>
      </c>
      <c r="E571" t="s">
        <v>19</v>
      </c>
      <c r="F571" t="s">
        <v>31</v>
      </c>
      <c r="G571" s="3">
        <f t="shared" ca="1" si="8"/>
        <v>11108</v>
      </c>
    </row>
    <row r="572" spans="1:7" x14ac:dyDescent="0.3">
      <c r="A572">
        <v>570</v>
      </c>
      <c r="B572" t="s">
        <v>60</v>
      </c>
      <c r="C572" t="s">
        <v>13</v>
      </c>
      <c r="D572" t="s">
        <v>115</v>
      </c>
      <c r="E572" t="s">
        <v>149</v>
      </c>
      <c r="F572" t="s">
        <v>10</v>
      </c>
      <c r="G572" s="3">
        <f t="shared" ca="1" si="8"/>
        <v>11607</v>
      </c>
    </row>
    <row r="573" spans="1:7" x14ac:dyDescent="0.3">
      <c r="A573">
        <v>571</v>
      </c>
      <c r="B573" t="s">
        <v>60</v>
      </c>
      <c r="C573" t="s">
        <v>13</v>
      </c>
      <c r="D573" t="s">
        <v>307</v>
      </c>
      <c r="E573" t="s">
        <v>308</v>
      </c>
      <c r="F573" t="s">
        <v>10</v>
      </c>
      <c r="G573" s="3">
        <f t="shared" ca="1" si="8"/>
        <v>7924</v>
      </c>
    </row>
    <row r="574" spans="1:7" x14ac:dyDescent="0.3">
      <c r="A574">
        <v>572</v>
      </c>
      <c r="B574" t="s">
        <v>60</v>
      </c>
      <c r="C574" t="s">
        <v>13</v>
      </c>
      <c r="D574" t="s">
        <v>350</v>
      </c>
      <c r="E574" t="s">
        <v>19</v>
      </c>
      <c r="F574" t="s">
        <v>10</v>
      </c>
      <c r="G574" s="3">
        <f t="shared" ca="1" si="8"/>
        <v>8769</v>
      </c>
    </row>
    <row r="575" spans="1:7" x14ac:dyDescent="0.3">
      <c r="A575">
        <v>573</v>
      </c>
      <c r="B575" t="s">
        <v>60</v>
      </c>
      <c r="C575" t="s">
        <v>19</v>
      </c>
      <c r="D575" t="s">
        <v>342</v>
      </c>
      <c r="E575" t="s">
        <v>343</v>
      </c>
      <c r="F575" t="s">
        <v>10</v>
      </c>
      <c r="G575" s="3">
        <f t="shared" ca="1" si="8"/>
        <v>11677</v>
      </c>
    </row>
    <row r="576" spans="1:7" x14ac:dyDescent="0.3">
      <c r="A576">
        <v>574</v>
      </c>
      <c r="B576" t="s">
        <v>60</v>
      </c>
      <c r="C576" t="s">
        <v>13</v>
      </c>
      <c r="D576" t="s">
        <v>344</v>
      </c>
      <c r="E576" t="s">
        <v>345</v>
      </c>
      <c r="F576" t="s">
        <v>10</v>
      </c>
      <c r="G576" s="3">
        <f t="shared" ca="1" si="8"/>
        <v>7456</v>
      </c>
    </row>
    <row r="577" spans="1:7" x14ac:dyDescent="0.3">
      <c r="A577">
        <v>575</v>
      </c>
      <c r="B577" t="s">
        <v>60</v>
      </c>
      <c r="C577" t="s">
        <v>13</v>
      </c>
      <c r="D577" t="s">
        <v>351</v>
      </c>
      <c r="E577" t="s">
        <v>352</v>
      </c>
      <c r="F577" t="s">
        <v>10</v>
      </c>
      <c r="G577" s="3">
        <f t="shared" ca="1" si="8"/>
        <v>7073</v>
      </c>
    </row>
    <row r="578" spans="1:7" x14ac:dyDescent="0.3">
      <c r="A578">
        <v>576</v>
      </c>
      <c r="B578" t="s">
        <v>60</v>
      </c>
      <c r="C578" t="s">
        <v>24</v>
      </c>
      <c r="D578" t="s">
        <v>181</v>
      </c>
      <c r="E578" t="s">
        <v>166</v>
      </c>
      <c r="F578" t="s">
        <v>19</v>
      </c>
      <c r="G578" s="3">
        <f t="shared" ref="G578:G641" ca="1" si="9">RANDBETWEEN(6500,12000)</f>
        <v>9741</v>
      </c>
    </row>
    <row r="579" spans="1:7" x14ac:dyDescent="0.3">
      <c r="A579">
        <v>577</v>
      </c>
      <c r="B579" t="s">
        <v>60</v>
      </c>
      <c r="C579" t="s">
        <v>7</v>
      </c>
      <c r="D579" t="s">
        <v>353</v>
      </c>
      <c r="E579" t="s">
        <v>19</v>
      </c>
      <c r="F579" t="s">
        <v>19</v>
      </c>
      <c r="G579" s="3">
        <f t="shared" ca="1" si="9"/>
        <v>8275</v>
      </c>
    </row>
    <row r="580" spans="1:7" x14ac:dyDescent="0.3">
      <c r="A580">
        <v>578</v>
      </c>
      <c r="B580" t="s">
        <v>60</v>
      </c>
      <c r="C580" t="s">
        <v>13</v>
      </c>
      <c r="D580" t="s">
        <v>169</v>
      </c>
      <c r="E580" t="s">
        <v>48</v>
      </c>
      <c r="F580" t="s">
        <v>10</v>
      </c>
      <c r="G580" s="3">
        <f t="shared" ca="1" si="9"/>
        <v>7878</v>
      </c>
    </row>
    <row r="581" spans="1:7" x14ac:dyDescent="0.3">
      <c r="A581">
        <v>579</v>
      </c>
      <c r="B581" t="s">
        <v>60</v>
      </c>
      <c r="C581" t="s">
        <v>7</v>
      </c>
      <c r="D581" t="s">
        <v>354</v>
      </c>
      <c r="E581" t="s">
        <v>19</v>
      </c>
      <c r="F581" t="s">
        <v>31</v>
      </c>
      <c r="G581" s="3">
        <f t="shared" ca="1" si="9"/>
        <v>11702</v>
      </c>
    </row>
    <row r="582" spans="1:7" x14ac:dyDescent="0.3">
      <c r="A582">
        <v>580</v>
      </c>
      <c r="B582" t="s">
        <v>60</v>
      </c>
      <c r="C582" t="s">
        <v>13</v>
      </c>
      <c r="D582" t="s">
        <v>115</v>
      </c>
      <c r="E582" t="s">
        <v>149</v>
      </c>
      <c r="F582" t="s">
        <v>10</v>
      </c>
      <c r="G582" s="3">
        <f t="shared" ca="1" si="9"/>
        <v>8240</v>
      </c>
    </row>
    <row r="583" spans="1:7" x14ac:dyDescent="0.3">
      <c r="A583">
        <v>581</v>
      </c>
      <c r="B583" t="s">
        <v>60</v>
      </c>
      <c r="C583" t="s">
        <v>13</v>
      </c>
      <c r="D583" t="s">
        <v>307</v>
      </c>
      <c r="E583" t="s">
        <v>308</v>
      </c>
      <c r="F583" t="s">
        <v>19</v>
      </c>
      <c r="G583" s="3">
        <f t="shared" ca="1" si="9"/>
        <v>10170</v>
      </c>
    </row>
    <row r="584" spans="1:7" x14ac:dyDescent="0.3">
      <c r="A584">
        <v>582</v>
      </c>
      <c r="B584" t="s">
        <v>60</v>
      </c>
      <c r="C584" t="s">
        <v>13</v>
      </c>
      <c r="D584" t="s">
        <v>35</v>
      </c>
      <c r="E584" t="s">
        <v>355</v>
      </c>
      <c r="F584" t="s">
        <v>19</v>
      </c>
      <c r="G584" s="3">
        <f t="shared" ca="1" si="9"/>
        <v>6559</v>
      </c>
    </row>
    <row r="585" spans="1:7" x14ac:dyDescent="0.3">
      <c r="A585">
        <v>583</v>
      </c>
      <c r="B585" t="s">
        <v>60</v>
      </c>
      <c r="C585" t="s">
        <v>13</v>
      </c>
      <c r="D585" t="s">
        <v>356</v>
      </c>
      <c r="E585" t="s">
        <v>19</v>
      </c>
      <c r="F585" t="s">
        <v>10</v>
      </c>
      <c r="G585" s="3">
        <f t="shared" ca="1" si="9"/>
        <v>11216</v>
      </c>
    </row>
    <row r="586" spans="1:7" x14ac:dyDescent="0.3">
      <c r="A586">
        <v>584</v>
      </c>
      <c r="B586" t="s">
        <v>60</v>
      </c>
      <c r="C586" t="s">
        <v>13</v>
      </c>
      <c r="D586" t="s">
        <v>16</v>
      </c>
      <c r="E586" t="s">
        <v>357</v>
      </c>
      <c r="F586" t="s">
        <v>10</v>
      </c>
      <c r="G586" s="3">
        <f t="shared" ca="1" si="9"/>
        <v>7806</v>
      </c>
    </row>
    <row r="587" spans="1:7" x14ac:dyDescent="0.3">
      <c r="A587">
        <v>585</v>
      </c>
      <c r="B587" t="s">
        <v>60</v>
      </c>
      <c r="C587" t="s">
        <v>13</v>
      </c>
      <c r="D587" t="s">
        <v>215</v>
      </c>
      <c r="E587" t="s">
        <v>358</v>
      </c>
      <c r="F587" t="s">
        <v>159</v>
      </c>
      <c r="G587" s="3">
        <f t="shared" ca="1" si="9"/>
        <v>6535</v>
      </c>
    </row>
    <row r="588" spans="1:7" x14ac:dyDescent="0.3">
      <c r="A588">
        <v>586</v>
      </c>
      <c r="B588" t="s">
        <v>60</v>
      </c>
      <c r="C588" t="s">
        <v>13</v>
      </c>
      <c r="D588" t="s">
        <v>359</v>
      </c>
      <c r="E588" t="s">
        <v>360</v>
      </c>
      <c r="F588" t="s">
        <v>10</v>
      </c>
      <c r="G588" s="3">
        <f t="shared" ca="1" si="9"/>
        <v>8038</v>
      </c>
    </row>
    <row r="589" spans="1:7" x14ac:dyDescent="0.3">
      <c r="A589">
        <v>587</v>
      </c>
      <c r="B589" t="s">
        <v>60</v>
      </c>
      <c r="C589" t="s">
        <v>7</v>
      </c>
      <c r="D589" t="s">
        <v>348</v>
      </c>
      <c r="E589" t="s">
        <v>153</v>
      </c>
      <c r="F589" t="s">
        <v>10</v>
      </c>
      <c r="G589" s="3">
        <f t="shared" ca="1" si="9"/>
        <v>7858</v>
      </c>
    </row>
    <row r="590" spans="1:7" x14ac:dyDescent="0.3">
      <c r="A590">
        <v>588</v>
      </c>
      <c r="B590" t="s">
        <v>60</v>
      </c>
      <c r="C590" t="s">
        <v>13</v>
      </c>
      <c r="D590" t="s">
        <v>185</v>
      </c>
      <c r="E590" t="s">
        <v>149</v>
      </c>
      <c r="F590" t="s">
        <v>10</v>
      </c>
      <c r="G590" s="3">
        <f t="shared" ca="1" si="9"/>
        <v>10946</v>
      </c>
    </row>
    <row r="591" spans="1:7" x14ac:dyDescent="0.3">
      <c r="A591">
        <v>589</v>
      </c>
      <c r="B591" t="s">
        <v>60</v>
      </c>
      <c r="C591" t="s">
        <v>7</v>
      </c>
      <c r="D591" t="s">
        <v>361</v>
      </c>
      <c r="E591" t="s">
        <v>362</v>
      </c>
      <c r="F591" t="s">
        <v>10</v>
      </c>
      <c r="G591" s="3">
        <f t="shared" ca="1" si="9"/>
        <v>10764</v>
      </c>
    </row>
    <row r="592" spans="1:7" x14ac:dyDescent="0.3">
      <c r="A592">
        <v>590</v>
      </c>
      <c r="B592" t="s">
        <v>60</v>
      </c>
      <c r="C592" t="s">
        <v>19</v>
      </c>
      <c r="D592" t="s">
        <v>19</v>
      </c>
      <c r="E592" t="s">
        <v>19</v>
      </c>
      <c r="F592" t="s">
        <v>19</v>
      </c>
      <c r="G592" s="3">
        <f t="shared" ca="1" si="9"/>
        <v>9777</v>
      </c>
    </row>
    <row r="593" spans="1:7" x14ac:dyDescent="0.3">
      <c r="A593">
        <v>591</v>
      </c>
      <c r="B593" t="s">
        <v>60</v>
      </c>
      <c r="C593" t="s">
        <v>13</v>
      </c>
      <c r="D593" t="s">
        <v>363</v>
      </c>
      <c r="E593" t="s">
        <v>364</v>
      </c>
      <c r="F593" t="s">
        <v>19</v>
      </c>
      <c r="G593" s="3">
        <f t="shared" ca="1" si="9"/>
        <v>8629</v>
      </c>
    </row>
    <row r="594" spans="1:7" x14ac:dyDescent="0.3">
      <c r="A594">
        <v>592</v>
      </c>
      <c r="B594" t="s">
        <v>60</v>
      </c>
      <c r="C594" t="s">
        <v>7</v>
      </c>
      <c r="D594" t="s">
        <v>365</v>
      </c>
      <c r="E594" t="s">
        <v>366</v>
      </c>
      <c r="F594" t="s">
        <v>31</v>
      </c>
      <c r="G594" s="3">
        <f t="shared" ca="1" si="9"/>
        <v>8994</v>
      </c>
    </row>
    <row r="595" spans="1:7" x14ac:dyDescent="0.3">
      <c r="A595">
        <v>593</v>
      </c>
      <c r="B595" t="s">
        <v>60</v>
      </c>
      <c r="C595" t="s">
        <v>13</v>
      </c>
      <c r="D595" t="s">
        <v>367</v>
      </c>
      <c r="E595" t="s">
        <v>368</v>
      </c>
      <c r="F595" t="s">
        <v>10</v>
      </c>
      <c r="G595" s="3">
        <f t="shared" ca="1" si="9"/>
        <v>10672</v>
      </c>
    </row>
    <row r="596" spans="1:7" x14ac:dyDescent="0.3">
      <c r="A596">
        <v>594</v>
      </c>
      <c r="B596" t="s">
        <v>60</v>
      </c>
      <c r="C596" t="s">
        <v>13</v>
      </c>
      <c r="D596" t="s">
        <v>91</v>
      </c>
      <c r="E596" t="s">
        <v>112</v>
      </c>
      <c r="F596" t="s">
        <v>10</v>
      </c>
      <c r="G596" s="3">
        <f t="shared" ca="1" si="9"/>
        <v>10181</v>
      </c>
    </row>
    <row r="597" spans="1:7" x14ac:dyDescent="0.3">
      <c r="A597">
        <v>595</v>
      </c>
      <c r="B597" t="s">
        <v>60</v>
      </c>
      <c r="C597" t="s">
        <v>13</v>
      </c>
      <c r="D597" t="s">
        <v>369</v>
      </c>
      <c r="E597" t="s">
        <v>370</v>
      </c>
      <c r="F597" t="s">
        <v>10</v>
      </c>
      <c r="G597" s="3">
        <f t="shared" ca="1" si="9"/>
        <v>11164</v>
      </c>
    </row>
    <row r="598" spans="1:7" x14ac:dyDescent="0.3">
      <c r="A598">
        <v>596</v>
      </c>
      <c r="B598" t="s">
        <v>60</v>
      </c>
      <c r="C598" t="s">
        <v>13</v>
      </c>
      <c r="D598" t="s">
        <v>371</v>
      </c>
      <c r="E598" t="s">
        <v>372</v>
      </c>
      <c r="F598" t="s">
        <v>104</v>
      </c>
      <c r="G598" s="3">
        <f t="shared" ca="1" si="9"/>
        <v>11256</v>
      </c>
    </row>
    <row r="599" spans="1:7" x14ac:dyDescent="0.3">
      <c r="A599">
        <v>597</v>
      </c>
      <c r="B599" t="s">
        <v>60</v>
      </c>
      <c r="C599" t="s">
        <v>7</v>
      </c>
      <c r="D599" t="s">
        <v>8</v>
      </c>
      <c r="E599" t="s">
        <v>373</v>
      </c>
      <c r="F599" t="s">
        <v>10</v>
      </c>
      <c r="G599" s="3">
        <f t="shared" ca="1" si="9"/>
        <v>7342</v>
      </c>
    </row>
    <row r="600" spans="1:7" x14ac:dyDescent="0.3">
      <c r="A600">
        <v>598</v>
      </c>
      <c r="B600" t="s">
        <v>60</v>
      </c>
      <c r="C600" t="s">
        <v>13</v>
      </c>
      <c r="D600" t="s">
        <v>374</v>
      </c>
      <c r="E600" t="s">
        <v>375</v>
      </c>
      <c r="F600" t="s">
        <v>19</v>
      </c>
      <c r="G600" s="3">
        <f t="shared" ca="1" si="9"/>
        <v>11223</v>
      </c>
    </row>
    <row r="601" spans="1:7" x14ac:dyDescent="0.3">
      <c r="A601">
        <v>599</v>
      </c>
      <c r="B601" t="s">
        <v>60</v>
      </c>
      <c r="C601" t="s">
        <v>13</v>
      </c>
      <c r="D601" t="s">
        <v>169</v>
      </c>
      <c r="E601" t="s">
        <v>60</v>
      </c>
      <c r="F601" t="s">
        <v>10</v>
      </c>
      <c r="G601" s="3">
        <f t="shared" ca="1" si="9"/>
        <v>10695</v>
      </c>
    </row>
    <row r="602" spans="1:7" x14ac:dyDescent="0.3">
      <c r="A602">
        <v>600</v>
      </c>
      <c r="B602" t="s">
        <v>60</v>
      </c>
      <c r="C602" t="s">
        <v>13</v>
      </c>
      <c r="D602" t="s">
        <v>91</v>
      </c>
      <c r="E602" t="s">
        <v>376</v>
      </c>
      <c r="F602" t="s">
        <v>10</v>
      </c>
      <c r="G602" s="3">
        <f t="shared" ca="1" si="9"/>
        <v>9433</v>
      </c>
    </row>
    <row r="603" spans="1:7" x14ac:dyDescent="0.3">
      <c r="A603">
        <v>601</v>
      </c>
      <c r="B603" t="s">
        <v>60</v>
      </c>
      <c r="C603" t="s">
        <v>19</v>
      </c>
      <c r="D603" t="s">
        <v>19</v>
      </c>
      <c r="E603" t="s">
        <v>341</v>
      </c>
      <c r="F603" t="s">
        <v>10</v>
      </c>
      <c r="G603" s="3">
        <f t="shared" ca="1" si="9"/>
        <v>7595</v>
      </c>
    </row>
    <row r="604" spans="1:7" x14ac:dyDescent="0.3">
      <c r="A604">
        <v>602</v>
      </c>
      <c r="B604" t="s">
        <v>60</v>
      </c>
      <c r="C604" t="s">
        <v>13</v>
      </c>
      <c r="D604" t="s">
        <v>97</v>
      </c>
      <c r="E604" t="s">
        <v>377</v>
      </c>
      <c r="F604" t="s">
        <v>10</v>
      </c>
      <c r="G604" s="3">
        <f t="shared" ca="1" si="9"/>
        <v>9680</v>
      </c>
    </row>
    <row r="605" spans="1:7" x14ac:dyDescent="0.3">
      <c r="A605">
        <v>603</v>
      </c>
      <c r="B605" t="s">
        <v>60</v>
      </c>
      <c r="C605" t="s">
        <v>13</v>
      </c>
      <c r="D605" t="s">
        <v>317</v>
      </c>
      <c r="E605" t="s">
        <v>19</v>
      </c>
      <c r="F605" t="s">
        <v>19</v>
      </c>
      <c r="G605" s="3">
        <f t="shared" ca="1" si="9"/>
        <v>9970</v>
      </c>
    </row>
    <row r="606" spans="1:7" x14ac:dyDescent="0.3">
      <c r="A606">
        <v>604</v>
      </c>
      <c r="B606" t="s">
        <v>60</v>
      </c>
      <c r="C606" t="s">
        <v>13</v>
      </c>
      <c r="D606" t="s">
        <v>378</v>
      </c>
      <c r="E606" t="s">
        <v>19</v>
      </c>
      <c r="F606" t="s">
        <v>10</v>
      </c>
      <c r="G606" s="3">
        <f t="shared" ca="1" si="9"/>
        <v>10739</v>
      </c>
    </row>
    <row r="607" spans="1:7" x14ac:dyDescent="0.3">
      <c r="A607">
        <v>605</v>
      </c>
      <c r="B607" t="s">
        <v>60</v>
      </c>
      <c r="C607" t="s">
        <v>24</v>
      </c>
      <c r="D607" t="s">
        <v>379</v>
      </c>
      <c r="E607" t="s">
        <v>149</v>
      </c>
      <c r="F607" t="s">
        <v>10</v>
      </c>
      <c r="G607" s="3">
        <f t="shared" ca="1" si="9"/>
        <v>11607</v>
      </c>
    </row>
    <row r="608" spans="1:7" x14ac:dyDescent="0.3">
      <c r="A608">
        <v>606</v>
      </c>
      <c r="B608" t="s">
        <v>60</v>
      </c>
      <c r="C608" t="s">
        <v>13</v>
      </c>
      <c r="D608" t="s">
        <v>119</v>
      </c>
      <c r="E608" t="s">
        <v>380</v>
      </c>
      <c r="F608" t="s">
        <v>10</v>
      </c>
      <c r="G608" s="3">
        <f t="shared" ca="1" si="9"/>
        <v>6501</v>
      </c>
    </row>
    <row r="609" spans="1:7" x14ac:dyDescent="0.3">
      <c r="A609">
        <v>607</v>
      </c>
      <c r="B609" t="s">
        <v>60</v>
      </c>
      <c r="C609" t="s">
        <v>7</v>
      </c>
      <c r="D609" t="s">
        <v>381</v>
      </c>
      <c r="E609" t="s">
        <v>164</v>
      </c>
      <c r="F609" t="s">
        <v>10</v>
      </c>
      <c r="G609" s="3">
        <f t="shared" ca="1" si="9"/>
        <v>6500</v>
      </c>
    </row>
    <row r="610" spans="1:7" x14ac:dyDescent="0.3">
      <c r="A610">
        <v>608</v>
      </c>
      <c r="B610" t="s">
        <v>60</v>
      </c>
      <c r="C610" t="s">
        <v>13</v>
      </c>
      <c r="D610" t="s">
        <v>382</v>
      </c>
      <c r="E610" t="s">
        <v>383</v>
      </c>
      <c r="F610" t="s">
        <v>10</v>
      </c>
      <c r="G610" s="3">
        <f t="shared" ca="1" si="9"/>
        <v>10124</v>
      </c>
    </row>
    <row r="611" spans="1:7" x14ac:dyDescent="0.3">
      <c r="A611">
        <v>609</v>
      </c>
      <c r="B611" t="s">
        <v>60</v>
      </c>
      <c r="C611" t="s">
        <v>13</v>
      </c>
      <c r="D611" t="s">
        <v>382</v>
      </c>
      <c r="E611" t="s">
        <v>383</v>
      </c>
      <c r="F611" t="s">
        <v>10</v>
      </c>
      <c r="G611" s="3">
        <f t="shared" ca="1" si="9"/>
        <v>6962</v>
      </c>
    </row>
    <row r="612" spans="1:7" x14ac:dyDescent="0.3">
      <c r="A612">
        <v>610</v>
      </c>
      <c r="B612" t="s">
        <v>60</v>
      </c>
      <c r="C612" t="s">
        <v>13</v>
      </c>
      <c r="D612" t="s">
        <v>384</v>
      </c>
      <c r="E612" t="s">
        <v>385</v>
      </c>
      <c r="F612" t="s">
        <v>10</v>
      </c>
      <c r="G612" s="3">
        <f t="shared" ca="1" si="9"/>
        <v>11153</v>
      </c>
    </row>
    <row r="613" spans="1:7" x14ac:dyDescent="0.3">
      <c r="A613">
        <v>611</v>
      </c>
      <c r="B613" t="s">
        <v>60</v>
      </c>
      <c r="C613" t="s">
        <v>13</v>
      </c>
      <c r="D613" t="s">
        <v>35</v>
      </c>
      <c r="E613" t="s">
        <v>19</v>
      </c>
      <c r="F613" t="s">
        <v>10</v>
      </c>
      <c r="G613" s="3">
        <f t="shared" ca="1" si="9"/>
        <v>7150</v>
      </c>
    </row>
    <row r="614" spans="1:7" x14ac:dyDescent="0.3">
      <c r="A614">
        <v>612</v>
      </c>
      <c r="B614" t="s">
        <v>60</v>
      </c>
      <c r="C614" t="s">
        <v>7</v>
      </c>
      <c r="D614" t="s">
        <v>386</v>
      </c>
      <c r="E614" t="s">
        <v>9</v>
      </c>
      <c r="F614" t="s">
        <v>10</v>
      </c>
      <c r="G614" s="3">
        <f t="shared" ca="1" si="9"/>
        <v>6636</v>
      </c>
    </row>
    <row r="615" spans="1:7" x14ac:dyDescent="0.3">
      <c r="A615">
        <v>613</v>
      </c>
      <c r="B615" t="s">
        <v>60</v>
      </c>
      <c r="C615" t="s">
        <v>7</v>
      </c>
      <c r="D615" t="s">
        <v>348</v>
      </c>
      <c r="E615" t="s">
        <v>153</v>
      </c>
      <c r="F615" t="s">
        <v>10</v>
      </c>
      <c r="G615" s="3">
        <f t="shared" ca="1" si="9"/>
        <v>8154</v>
      </c>
    </row>
    <row r="616" spans="1:7" x14ac:dyDescent="0.3">
      <c r="A616">
        <v>614</v>
      </c>
      <c r="B616" t="s">
        <v>60</v>
      </c>
      <c r="C616" t="s">
        <v>7</v>
      </c>
      <c r="D616" t="s">
        <v>346</v>
      </c>
      <c r="E616" t="s">
        <v>347</v>
      </c>
      <c r="F616" t="s">
        <v>10</v>
      </c>
      <c r="G616" s="3">
        <f t="shared" ca="1" si="9"/>
        <v>8518</v>
      </c>
    </row>
    <row r="617" spans="1:7" x14ac:dyDescent="0.3">
      <c r="A617">
        <v>615</v>
      </c>
      <c r="B617" t="s">
        <v>60</v>
      </c>
      <c r="C617" t="s">
        <v>7</v>
      </c>
      <c r="D617" t="s">
        <v>387</v>
      </c>
      <c r="E617" t="s">
        <v>153</v>
      </c>
      <c r="F617" t="s">
        <v>10</v>
      </c>
      <c r="G617" s="3">
        <f t="shared" ca="1" si="9"/>
        <v>11077</v>
      </c>
    </row>
    <row r="618" spans="1:7" x14ac:dyDescent="0.3">
      <c r="A618">
        <v>616</v>
      </c>
      <c r="B618" t="s">
        <v>60</v>
      </c>
      <c r="C618" t="s">
        <v>13</v>
      </c>
      <c r="D618" t="s">
        <v>388</v>
      </c>
      <c r="E618" t="s">
        <v>389</v>
      </c>
      <c r="F618" t="s">
        <v>10</v>
      </c>
      <c r="G618" s="3">
        <f t="shared" ca="1" si="9"/>
        <v>11662</v>
      </c>
    </row>
    <row r="619" spans="1:7" x14ac:dyDescent="0.3">
      <c r="A619">
        <v>617</v>
      </c>
      <c r="B619" t="s">
        <v>60</v>
      </c>
      <c r="C619" t="s">
        <v>13</v>
      </c>
      <c r="D619" t="s">
        <v>212</v>
      </c>
      <c r="E619" t="s">
        <v>340</v>
      </c>
      <c r="F619" t="s">
        <v>31</v>
      </c>
      <c r="G619" s="3">
        <f t="shared" ca="1" si="9"/>
        <v>10712</v>
      </c>
    </row>
    <row r="620" spans="1:7" x14ac:dyDescent="0.3">
      <c r="A620">
        <v>618</v>
      </c>
      <c r="B620" t="s">
        <v>60</v>
      </c>
      <c r="C620" t="s">
        <v>24</v>
      </c>
      <c r="D620" t="s">
        <v>390</v>
      </c>
      <c r="E620" t="s">
        <v>77</v>
      </c>
      <c r="F620" t="s">
        <v>10</v>
      </c>
      <c r="G620" s="3">
        <f t="shared" ca="1" si="9"/>
        <v>8196</v>
      </c>
    </row>
    <row r="621" spans="1:7" x14ac:dyDescent="0.3">
      <c r="A621">
        <v>619</v>
      </c>
      <c r="B621" t="s">
        <v>60</v>
      </c>
      <c r="C621" t="s">
        <v>13</v>
      </c>
      <c r="D621" t="s">
        <v>307</v>
      </c>
      <c r="E621" t="s">
        <v>349</v>
      </c>
      <c r="F621" t="s">
        <v>10</v>
      </c>
      <c r="G621" s="3">
        <f t="shared" ca="1" si="9"/>
        <v>11637</v>
      </c>
    </row>
    <row r="622" spans="1:7" x14ac:dyDescent="0.3">
      <c r="A622">
        <v>620</v>
      </c>
      <c r="B622" t="s">
        <v>60</v>
      </c>
      <c r="C622" t="s">
        <v>13</v>
      </c>
      <c r="D622" t="s">
        <v>391</v>
      </c>
      <c r="E622" t="s">
        <v>392</v>
      </c>
      <c r="F622" t="s">
        <v>159</v>
      </c>
      <c r="G622" s="3">
        <f t="shared" ca="1" si="9"/>
        <v>10008</v>
      </c>
    </row>
    <row r="623" spans="1:7" x14ac:dyDescent="0.3">
      <c r="A623">
        <v>621</v>
      </c>
      <c r="B623" t="s">
        <v>60</v>
      </c>
      <c r="C623" t="s">
        <v>13</v>
      </c>
      <c r="D623" t="s">
        <v>393</v>
      </c>
      <c r="E623" t="s">
        <v>394</v>
      </c>
      <c r="F623" t="s">
        <v>19</v>
      </c>
      <c r="G623" s="3">
        <f t="shared" ca="1" si="9"/>
        <v>9040</v>
      </c>
    </row>
    <row r="624" spans="1:7" x14ac:dyDescent="0.3">
      <c r="A624">
        <v>622</v>
      </c>
      <c r="B624" t="s">
        <v>60</v>
      </c>
      <c r="C624" t="s">
        <v>13</v>
      </c>
      <c r="D624" t="s">
        <v>16</v>
      </c>
      <c r="E624" t="s">
        <v>19</v>
      </c>
      <c r="F624" t="s">
        <v>10</v>
      </c>
      <c r="G624" s="3">
        <f t="shared" ca="1" si="9"/>
        <v>9869</v>
      </c>
    </row>
    <row r="625" spans="1:7" x14ac:dyDescent="0.3">
      <c r="A625">
        <v>623</v>
      </c>
      <c r="B625" t="s">
        <v>60</v>
      </c>
      <c r="C625" t="s">
        <v>13</v>
      </c>
      <c r="D625" t="s">
        <v>16</v>
      </c>
      <c r="E625" t="s">
        <v>395</v>
      </c>
      <c r="F625" t="s">
        <v>10</v>
      </c>
      <c r="G625" s="3">
        <f t="shared" ca="1" si="9"/>
        <v>11687</v>
      </c>
    </row>
    <row r="626" spans="1:7" x14ac:dyDescent="0.3">
      <c r="A626">
        <v>624</v>
      </c>
      <c r="B626" t="s">
        <v>60</v>
      </c>
      <c r="C626" t="s">
        <v>7</v>
      </c>
      <c r="D626" t="s">
        <v>348</v>
      </c>
      <c r="E626" t="s">
        <v>153</v>
      </c>
      <c r="F626" t="s">
        <v>10</v>
      </c>
      <c r="G626" s="3">
        <f t="shared" ca="1" si="9"/>
        <v>10536</v>
      </c>
    </row>
    <row r="627" spans="1:7" x14ac:dyDescent="0.3">
      <c r="A627">
        <v>625</v>
      </c>
      <c r="B627" t="s">
        <v>60</v>
      </c>
      <c r="C627" t="s">
        <v>7</v>
      </c>
      <c r="D627" t="s">
        <v>177</v>
      </c>
      <c r="E627" t="s">
        <v>9</v>
      </c>
      <c r="F627" t="s">
        <v>10</v>
      </c>
      <c r="G627" s="3">
        <f t="shared" ca="1" si="9"/>
        <v>9789</v>
      </c>
    </row>
    <row r="628" spans="1:7" x14ac:dyDescent="0.3">
      <c r="A628">
        <v>626</v>
      </c>
      <c r="B628" t="s">
        <v>60</v>
      </c>
      <c r="C628" t="s">
        <v>13</v>
      </c>
      <c r="D628" t="s">
        <v>154</v>
      </c>
      <c r="E628" t="s">
        <v>155</v>
      </c>
      <c r="F628" t="s">
        <v>10</v>
      </c>
      <c r="G628" s="3">
        <f t="shared" ca="1" si="9"/>
        <v>8122</v>
      </c>
    </row>
    <row r="629" spans="1:7" x14ac:dyDescent="0.3">
      <c r="A629">
        <v>627</v>
      </c>
      <c r="B629" t="s">
        <v>60</v>
      </c>
      <c r="C629" t="s">
        <v>7</v>
      </c>
      <c r="D629" t="s">
        <v>19</v>
      </c>
      <c r="E629" t="s">
        <v>264</v>
      </c>
      <c r="F629" t="s">
        <v>10</v>
      </c>
      <c r="G629" s="3">
        <f t="shared" ca="1" si="9"/>
        <v>8551</v>
      </c>
    </row>
    <row r="630" spans="1:7" x14ac:dyDescent="0.3">
      <c r="A630">
        <v>628</v>
      </c>
      <c r="B630" t="s">
        <v>60</v>
      </c>
      <c r="C630" t="s">
        <v>13</v>
      </c>
      <c r="D630" t="s">
        <v>307</v>
      </c>
      <c r="E630" t="s">
        <v>349</v>
      </c>
      <c r="F630" t="s">
        <v>10</v>
      </c>
      <c r="G630" s="3">
        <f t="shared" ca="1" si="9"/>
        <v>8993</v>
      </c>
    </row>
    <row r="631" spans="1:7" x14ac:dyDescent="0.3">
      <c r="A631">
        <v>629</v>
      </c>
      <c r="B631" t="s">
        <v>60</v>
      </c>
      <c r="C631" t="s">
        <v>13</v>
      </c>
      <c r="D631" t="s">
        <v>391</v>
      </c>
      <c r="E631" t="s">
        <v>392</v>
      </c>
      <c r="F631" t="s">
        <v>159</v>
      </c>
      <c r="G631" s="3">
        <f t="shared" ca="1" si="9"/>
        <v>9520</v>
      </c>
    </row>
    <row r="632" spans="1:7" x14ac:dyDescent="0.3">
      <c r="A632">
        <v>630</v>
      </c>
      <c r="B632" t="s">
        <v>60</v>
      </c>
      <c r="C632" t="s">
        <v>13</v>
      </c>
      <c r="D632" t="s">
        <v>393</v>
      </c>
      <c r="E632" t="s">
        <v>394</v>
      </c>
      <c r="F632" t="s">
        <v>19</v>
      </c>
      <c r="G632" s="3">
        <f t="shared" ca="1" si="9"/>
        <v>11339</v>
      </c>
    </row>
    <row r="633" spans="1:7" x14ac:dyDescent="0.3">
      <c r="A633">
        <v>631</v>
      </c>
      <c r="B633" t="s">
        <v>60</v>
      </c>
      <c r="C633" t="s">
        <v>13</v>
      </c>
      <c r="D633" t="s">
        <v>16</v>
      </c>
      <c r="E633" t="s">
        <v>19</v>
      </c>
      <c r="F633" t="s">
        <v>10</v>
      </c>
      <c r="G633" s="3">
        <f t="shared" ca="1" si="9"/>
        <v>6643</v>
      </c>
    </row>
    <row r="634" spans="1:7" x14ac:dyDescent="0.3">
      <c r="A634">
        <v>632</v>
      </c>
      <c r="B634" t="s">
        <v>60</v>
      </c>
      <c r="C634" t="s">
        <v>13</v>
      </c>
      <c r="D634" t="s">
        <v>16</v>
      </c>
      <c r="E634" t="s">
        <v>395</v>
      </c>
      <c r="F634" t="s">
        <v>10</v>
      </c>
      <c r="G634" s="3">
        <f t="shared" ca="1" si="9"/>
        <v>7666</v>
      </c>
    </row>
    <row r="635" spans="1:7" x14ac:dyDescent="0.3">
      <c r="A635">
        <v>633</v>
      </c>
      <c r="B635" t="s">
        <v>60</v>
      </c>
      <c r="C635" t="s">
        <v>7</v>
      </c>
      <c r="D635" t="s">
        <v>348</v>
      </c>
      <c r="E635" t="s">
        <v>153</v>
      </c>
      <c r="F635" t="s">
        <v>10</v>
      </c>
      <c r="G635" s="3">
        <f t="shared" ca="1" si="9"/>
        <v>8513</v>
      </c>
    </row>
    <row r="636" spans="1:7" x14ac:dyDescent="0.3">
      <c r="A636">
        <v>634</v>
      </c>
      <c r="B636" t="s">
        <v>60</v>
      </c>
      <c r="C636" t="s">
        <v>7</v>
      </c>
      <c r="D636" t="s">
        <v>177</v>
      </c>
      <c r="E636" t="s">
        <v>9</v>
      </c>
      <c r="F636" t="s">
        <v>10</v>
      </c>
      <c r="G636" s="3">
        <f t="shared" ca="1" si="9"/>
        <v>10661</v>
      </c>
    </row>
    <row r="637" spans="1:7" x14ac:dyDescent="0.3">
      <c r="A637">
        <v>635</v>
      </c>
      <c r="B637" t="s">
        <v>60</v>
      </c>
      <c r="C637" t="s">
        <v>13</v>
      </c>
      <c r="D637" t="s">
        <v>154</v>
      </c>
      <c r="E637" t="s">
        <v>155</v>
      </c>
      <c r="F637" t="s">
        <v>10</v>
      </c>
      <c r="G637" s="3">
        <f t="shared" ca="1" si="9"/>
        <v>10916</v>
      </c>
    </row>
    <row r="638" spans="1:7" x14ac:dyDescent="0.3">
      <c r="A638">
        <v>636</v>
      </c>
      <c r="B638" t="s">
        <v>60</v>
      </c>
      <c r="C638" t="s">
        <v>7</v>
      </c>
      <c r="D638" t="s">
        <v>19</v>
      </c>
      <c r="E638" t="s">
        <v>264</v>
      </c>
      <c r="F638" t="s">
        <v>10</v>
      </c>
      <c r="G638" s="3">
        <f t="shared" ca="1" si="9"/>
        <v>7093</v>
      </c>
    </row>
    <row r="639" spans="1:7" x14ac:dyDescent="0.3">
      <c r="A639">
        <v>637</v>
      </c>
      <c r="B639" t="s">
        <v>60</v>
      </c>
      <c r="C639" t="s">
        <v>13</v>
      </c>
      <c r="D639" t="s">
        <v>396</v>
      </c>
      <c r="E639" t="s">
        <v>397</v>
      </c>
      <c r="F639" t="s">
        <v>10</v>
      </c>
      <c r="G639" s="3">
        <f t="shared" ca="1" si="9"/>
        <v>6689</v>
      </c>
    </row>
    <row r="640" spans="1:7" x14ac:dyDescent="0.3">
      <c r="A640">
        <v>638</v>
      </c>
      <c r="B640" t="s">
        <v>60</v>
      </c>
      <c r="C640" t="s">
        <v>24</v>
      </c>
      <c r="D640" t="s">
        <v>170</v>
      </c>
      <c r="E640" t="s">
        <v>171</v>
      </c>
      <c r="F640" t="s">
        <v>10</v>
      </c>
      <c r="G640" s="3">
        <f t="shared" ca="1" si="9"/>
        <v>8534</v>
      </c>
    </row>
    <row r="641" spans="1:7" x14ac:dyDescent="0.3">
      <c r="A641">
        <v>639</v>
      </c>
      <c r="B641" t="s">
        <v>60</v>
      </c>
      <c r="C641" t="s">
        <v>24</v>
      </c>
      <c r="D641" t="s">
        <v>240</v>
      </c>
      <c r="E641" t="s">
        <v>120</v>
      </c>
      <c r="F641" t="s">
        <v>10</v>
      </c>
      <c r="G641" s="3">
        <f t="shared" ca="1" si="9"/>
        <v>11305</v>
      </c>
    </row>
    <row r="642" spans="1:7" x14ac:dyDescent="0.3">
      <c r="A642">
        <v>640</v>
      </c>
      <c r="B642" t="s">
        <v>60</v>
      </c>
      <c r="C642" t="s">
        <v>13</v>
      </c>
      <c r="D642" t="s">
        <v>398</v>
      </c>
      <c r="E642" t="s">
        <v>130</v>
      </c>
      <c r="F642" t="s">
        <v>291</v>
      </c>
      <c r="G642" s="3">
        <f t="shared" ref="G642:G705" ca="1" si="10">RANDBETWEEN(6500,12000)</f>
        <v>7464</v>
      </c>
    </row>
    <row r="643" spans="1:7" x14ac:dyDescent="0.3">
      <c r="A643">
        <v>641</v>
      </c>
      <c r="B643" t="s">
        <v>60</v>
      </c>
      <c r="C643" t="s">
        <v>7</v>
      </c>
      <c r="D643" t="s">
        <v>399</v>
      </c>
      <c r="E643" t="s">
        <v>164</v>
      </c>
      <c r="F643" t="s">
        <v>10</v>
      </c>
      <c r="G643" s="3">
        <f t="shared" ca="1" si="10"/>
        <v>8824</v>
      </c>
    </row>
    <row r="644" spans="1:7" x14ac:dyDescent="0.3">
      <c r="A644">
        <v>642</v>
      </c>
      <c r="B644" t="s">
        <v>60</v>
      </c>
      <c r="C644" t="s">
        <v>7</v>
      </c>
      <c r="D644" t="s">
        <v>365</v>
      </c>
      <c r="E644" t="s">
        <v>366</v>
      </c>
      <c r="F644" t="s">
        <v>31</v>
      </c>
      <c r="G644" s="3">
        <f t="shared" ca="1" si="10"/>
        <v>8332</v>
      </c>
    </row>
    <row r="645" spans="1:7" x14ac:dyDescent="0.3">
      <c r="A645">
        <v>643</v>
      </c>
      <c r="B645" t="s">
        <v>60</v>
      </c>
      <c r="C645" t="s">
        <v>13</v>
      </c>
      <c r="D645" t="s">
        <v>35</v>
      </c>
      <c r="E645" t="s">
        <v>19</v>
      </c>
      <c r="F645" t="s">
        <v>19</v>
      </c>
      <c r="G645" s="3">
        <f t="shared" ca="1" si="10"/>
        <v>11131</v>
      </c>
    </row>
    <row r="646" spans="1:7" x14ac:dyDescent="0.3">
      <c r="A646">
        <v>644</v>
      </c>
      <c r="B646" t="s">
        <v>60</v>
      </c>
      <c r="C646" t="s">
        <v>7</v>
      </c>
      <c r="D646" t="s">
        <v>227</v>
      </c>
      <c r="E646" t="s">
        <v>400</v>
      </c>
      <c r="F646" t="s">
        <v>19</v>
      </c>
      <c r="G646" s="3">
        <f t="shared" ca="1" si="10"/>
        <v>7388</v>
      </c>
    </row>
    <row r="647" spans="1:7" x14ac:dyDescent="0.3">
      <c r="A647">
        <v>645</v>
      </c>
      <c r="B647" t="s">
        <v>60</v>
      </c>
      <c r="C647" t="s">
        <v>13</v>
      </c>
      <c r="D647" t="s">
        <v>401</v>
      </c>
      <c r="E647" t="s">
        <v>402</v>
      </c>
      <c r="F647" t="s">
        <v>10</v>
      </c>
      <c r="G647" s="3">
        <f t="shared" ca="1" si="10"/>
        <v>11661</v>
      </c>
    </row>
    <row r="648" spans="1:7" x14ac:dyDescent="0.3">
      <c r="A648">
        <v>646</v>
      </c>
      <c r="B648" t="s">
        <v>60</v>
      </c>
      <c r="C648" t="s">
        <v>13</v>
      </c>
      <c r="D648" t="s">
        <v>396</v>
      </c>
      <c r="E648" t="s">
        <v>397</v>
      </c>
      <c r="F648" t="s">
        <v>10</v>
      </c>
      <c r="G648" s="3">
        <f t="shared" ca="1" si="10"/>
        <v>8816</v>
      </c>
    </row>
    <row r="649" spans="1:7" x14ac:dyDescent="0.3">
      <c r="A649">
        <v>647</v>
      </c>
      <c r="B649" t="s">
        <v>60</v>
      </c>
      <c r="C649" t="s">
        <v>24</v>
      </c>
      <c r="D649" t="s">
        <v>170</v>
      </c>
      <c r="E649" t="s">
        <v>171</v>
      </c>
      <c r="F649" t="s">
        <v>10</v>
      </c>
      <c r="G649" s="3">
        <f t="shared" ca="1" si="10"/>
        <v>9597</v>
      </c>
    </row>
    <row r="650" spans="1:7" x14ac:dyDescent="0.3">
      <c r="A650">
        <v>648</v>
      </c>
      <c r="B650" t="s">
        <v>60</v>
      </c>
      <c r="C650" t="s">
        <v>24</v>
      </c>
      <c r="D650" t="s">
        <v>240</v>
      </c>
      <c r="E650" t="s">
        <v>120</v>
      </c>
      <c r="F650" t="s">
        <v>10</v>
      </c>
      <c r="G650" s="3">
        <f t="shared" ca="1" si="10"/>
        <v>11227</v>
      </c>
    </row>
    <row r="651" spans="1:7" x14ac:dyDescent="0.3">
      <c r="A651">
        <v>649</v>
      </c>
      <c r="B651" t="s">
        <v>60</v>
      </c>
      <c r="C651" t="s">
        <v>13</v>
      </c>
      <c r="D651" t="s">
        <v>398</v>
      </c>
      <c r="E651" t="s">
        <v>130</v>
      </c>
      <c r="F651" t="s">
        <v>291</v>
      </c>
      <c r="G651" s="3">
        <f t="shared" ca="1" si="10"/>
        <v>7614</v>
      </c>
    </row>
    <row r="652" spans="1:7" x14ac:dyDescent="0.3">
      <c r="A652">
        <v>650</v>
      </c>
      <c r="B652" t="s">
        <v>60</v>
      </c>
      <c r="C652" t="s">
        <v>7</v>
      </c>
      <c r="D652" t="s">
        <v>399</v>
      </c>
      <c r="E652" t="s">
        <v>164</v>
      </c>
      <c r="F652" t="s">
        <v>10</v>
      </c>
      <c r="G652" s="3">
        <f t="shared" ca="1" si="10"/>
        <v>6703</v>
      </c>
    </row>
    <row r="653" spans="1:7" x14ac:dyDescent="0.3">
      <c r="A653">
        <v>651</v>
      </c>
      <c r="B653" t="s">
        <v>60</v>
      </c>
      <c r="C653" t="s">
        <v>7</v>
      </c>
      <c r="D653" t="s">
        <v>365</v>
      </c>
      <c r="E653" t="s">
        <v>366</v>
      </c>
      <c r="F653" t="s">
        <v>31</v>
      </c>
      <c r="G653" s="3">
        <f t="shared" ca="1" si="10"/>
        <v>7715</v>
      </c>
    </row>
    <row r="654" spans="1:7" x14ac:dyDescent="0.3">
      <c r="A654">
        <v>652</v>
      </c>
      <c r="B654" t="s">
        <v>60</v>
      </c>
      <c r="C654" t="s">
        <v>13</v>
      </c>
      <c r="D654" t="s">
        <v>35</v>
      </c>
      <c r="E654" t="s">
        <v>19</v>
      </c>
      <c r="F654" t="s">
        <v>19</v>
      </c>
      <c r="G654" s="3">
        <f t="shared" ca="1" si="10"/>
        <v>9434</v>
      </c>
    </row>
    <row r="655" spans="1:7" x14ac:dyDescent="0.3">
      <c r="A655">
        <v>653</v>
      </c>
      <c r="B655" t="s">
        <v>60</v>
      </c>
      <c r="C655" t="s">
        <v>7</v>
      </c>
      <c r="D655" t="s">
        <v>227</v>
      </c>
      <c r="E655" t="s">
        <v>400</v>
      </c>
      <c r="F655" t="s">
        <v>19</v>
      </c>
      <c r="G655" s="3">
        <f t="shared" ca="1" si="10"/>
        <v>7170</v>
      </c>
    </row>
    <row r="656" spans="1:7" x14ac:dyDescent="0.3">
      <c r="A656">
        <v>654</v>
      </c>
      <c r="B656" t="s">
        <v>60</v>
      </c>
      <c r="C656" t="s">
        <v>13</v>
      </c>
      <c r="D656" t="s">
        <v>401</v>
      </c>
      <c r="E656" t="s">
        <v>402</v>
      </c>
      <c r="F656" t="s">
        <v>10</v>
      </c>
      <c r="G656" s="3">
        <f t="shared" ca="1" si="10"/>
        <v>11813</v>
      </c>
    </row>
    <row r="657" spans="1:7" x14ac:dyDescent="0.3">
      <c r="A657">
        <v>655</v>
      </c>
      <c r="B657" t="s">
        <v>60</v>
      </c>
      <c r="C657" t="s">
        <v>13</v>
      </c>
      <c r="D657" t="s">
        <v>100</v>
      </c>
      <c r="E657" t="s">
        <v>164</v>
      </c>
      <c r="F657" t="s">
        <v>10</v>
      </c>
      <c r="G657" s="3">
        <f t="shared" ca="1" si="10"/>
        <v>6623</v>
      </c>
    </row>
    <row r="658" spans="1:7" x14ac:dyDescent="0.3">
      <c r="A658">
        <v>656</v>
      </c>
      <c r="B658" t="s">
        <v>60</v>
      </c>
      <c r="C658" t="s">
        <v>19</v>
      </c>
      <c r="D658" t="s">
        <v>19</v>
      </c>
      <c r="E658" t="s">
        <v>19</v>
      </c>
      <c r="F658" t="s">
        <v>19</v>
      </c>
      <c r="G658" s="3">
        <f t="shared" ca="1" si="10"/>
        <v>9043</v>
      </c>
    </row>
    <row r="659" spans="1:7" x14ac:dyDescent="0.3">
      <c r="A659">
        <v>657</v>
      </c>
      <c r="B659" t="s">
        <v>60</v>
      </c>
      <c r="C659" t="s">
        <v>24</v>
      </c>
      <c r="D659" t="s">
        <v>16</v>
      </c>
      <c r="E659" t="s">
        <v>403</v>
      </c>
      <c r="F659" t="s">
        <v>10</v>
      </c>
      <c r="G659" s="3">
        <f t="shared" ca="1" si="10"/>
        <v>7243</v>
      </c>
    </row>
    <row r="660" spans="1:7" x14ac:dyDescent="0.3">
      <c r="A660">
        <v>658</v>
      </c>
      <c r="B660" t="s">
        <v>60</v>
      </c>
      <c r="C660" t="s">
        <v>24</v>
      </c>
      <c r="D660" t="s">
        <v>390</v>
      </c>
      <c r="E660" t="s">
        <v>77</v>
      </c>
      <c r="F660" t="s">
        <v>10</v>
      </c>
      <c r="G660" s="3">
        <f t="shared" ca="1" si="10"/>
        <v>10509</v>
      </c>
    </row>
    <row r="661" spans="1:7" x14ac:dyDescent="0.3">
      <c r="A661">
        <v>659</v>
      </c>
      <c r="B661" t="s">
        <v>60</v>
      </c>
      <c r="C661" t="s">
        <v>7</v>
      </c>
      <c r="D661" t="s">
        <v>114</v>
      </c>
      <c r="E661" t="s">
        <v>19</v>
      </c>
      <c r="F661" t="s">
        <v>10</v>
      </c>
      <c r="G661" s="3">
        <f t="shared" ca="1" si="10"/>
        <v>8841</v>
      </c>
    </row>
    <row r="662" spans="1:7" x14ac:dyDescent="0.3">
      <c r="A662">
        <v>660</v>
      </c>
      <c r="B662" t="s">
        <v>60</v>
      </c>
      <c r="C662" t="s">
        <v>13</v>
      </c>
      <c r="D662" t="s">
        <v>404</v>
      </c>
      <c r="E662" t="s">
        <v>405</v>
      </c>
      <c r="F662" t="s">
        <v>10</v>
      </c>
      <c r="G662" s="3">
        <f t="shared" ca="1" si="10"/>
        <v>10210</v>
      </c>
    </row>
    <row r="663" spans="1:7" x14ac:dyDescent="0.3">
      <c r="A663">
        <v>661</v>
      </c>
      <c r="B663" t="s">
        <v>60</v>
      </c>
      <c r="C663" t="s">
        <v>13</v>
      </c>
      <c r="D663" t="s">
        <v>20</v>
      </c>
      <c r="E663" t="s">
        <v>149</v>
      </c>
      <c r="F663" t="s">
        <v>10</v>
      </c>
      <c r="G663" s="3">
        <f t="shared" ca="1" si="10"/>
        <v>9528</v>
      </c>
    </row>
    <row r="664" spans="1:7" x14ac:dyDescent="0.3">
      <c r="A664">
        <v>662</v>
      </c>
      <c r="B664" t="s">
        <v>60</v>
      </c>
      <c r="C664" t="s">
        <v>7</v>
      </c>
      <c r="D664" t="s">
        <v>406</v>
      </c>
      <c r="E664" t="s">
        <v>407</v>
      </c>
      <c r="F664" t="s">
        <v>10</v>
      </c>
      <c r="G664" s="3">
        <f t="shared" ca="1" si="10"/>
        <v>6655</v>
      </c>
    </row>
    <row r="665" spans="1:7" x14ac:dyDescent="0.3">
      <c r="A665">
        <v>663</v>
      </c>
      <c r="B665" t="s">
        <v>60</v>
      </c>
      <c r="C665" t="s">
        <v>13</v>
      </c>
      <c r="D665" t="s">
        <v>80</v>
      </c>
      <c r="E665" t="s">
        <v>383</v>
      </c>
      <c r="F665" t="s">
        <v>10</v>
      </c>
      <c r="G665" s="3">
        <f t="shared" ca="1" si="10"/>
        <v>10128</v>
      </c>
    </row>
    <row r="666" spans="1:7" x14ac:dyDescent="0.3">
      <c r="A666">
        <v>664</v>
      </c>
      <c r="B666" t="s">
        <v>60</v>
      </c>
      <c r="C666" t="s">
        <v>13</v>
      </c>
      <c r="D666" t="s">
        <v>181</v>
      </c>
      <c r="E666" t="s">
        <v>182</v>
      </c>
      <c r="F666" t="s">
        <v>10</v>
      </c>
      <c r="G666" s="3">
        <f t="shared" ca="1" si="10"/>
        <v>8274</v>
      </c>
    </row>
    <row r="667" spans="1:7" x14ac:dyDescent="0.3">
      <c r="A667">
        <v>665</v>
      </c>
      <c r="B667" t="s">
        <v>60</v>
      </c>
      <c r="C667" t="s">
        <v>24</v>
      </c>
      <c r="D667" t="s">
        <v>135</v>
      </c>
      <c r="E667" t="s">
        <v>136</v>
      </c>
      <c r="F667" t="s">
        <v>10</v>
      </c>
      <c r="G667" s="3">
        <f t="shared" ca="1" si="10"/>
        <v>10291</v>
      </c>
    </row>
    <row r="668" spans="1:7" x14ac:dyDescent="0.3">
      <c r="A668">
        <v>666</v>
      </c>
      <c r="B668" t="s">
        <v>60</v>
      </c>
      <c r="C668" t="s">
        <v>13</v>
      </c>
      <c r="D668" t="s">
        <v>408</v>
      </c>
      <c r="E668" t="s">
        <v>195</v>
      </c>
      <c r="F668" t="s">
        <v>159</v>
      </c>
      <c r="G668" s="3">
        <f t="shared" ca="1" si="10"/>
        <v>8398</v>
      </c>
    </row>
    <row r="669" spans="1:7" x14ac:dyDescent="0.3">
      <c r="A669">
        <v>667</v>
      </c>
      <c r="B669" t="s">
        <v>60</v>
      </c>
      <c r="C669" t="s">
        <v>13</v>
      </c>
      <c r="D669" t="s">
        <v>408</v>
      </c>
      <c r="E669" t="s">
        <v>195</v>
      </c>
      <c r="F669" t="s">
        <v>159</v>
      </c>
      <c r="G669" s="3">
        <f t="shared" ca="1" si="10"/>
        <v>11881</v>
      </c>
    </row>
    <row r="670" spans="1:7" x14ac:dyDescent="0.3">
      <c r="A670">
        <v>668</v>
      </c>
      <c r="B670" t="s">
        <v>60</v>
      </c>
      <c r="C670" t="s">
        <v>7</v>
      </c>
      <c r="D670" t="s">
        <v>176</v>
      </c>
      <c r="E670" t="s">
        <v>19</v>
      </c>
      <c r="F670" t="s">
        <v>10</v>
      </c>
      <c r="G670" s="3">
        <f t="shared" ca="1" si="10"/>
        <v>8035</v>
      </c>
    </row>
    <row r="671" spans="1:7" x14ac:dyDescent="0.3">
      <c r="A671">
        <v>669</v>
      </c>
      <c r="B671" t="s">
        <v>60</v>
      </c>
      <c r="C671" t="s">
        <v>7</v>
      </c>
      <c r="D671" t="s">
        <v>409</v>
      </c>
      <c r="E671" t="s">
        <v>164</v>
      </c>
      <c r="F671" t="s">
        <v>10</v>
      </c>
      <c r="G671" s="3">
        <f t="shared" ca="1" si="10"/>
        <v>9261</v>
      </c>
    </row>
    <row r="672" spans="1:7" x14ac:dyDescent="0.3">
      <c r="A672">
        <v>670</v>
      </c>
      <c r="B672" t="s">
        <v>60</v>
      </c>
      <c r="C672" t="s">
        <v>7</v>
      </c>
      <c r="D672" t="s">
        <v>22</v>
      </c>
      <c r="E672" t="s">
        <v>28</v>
      </c>
      <c r="F672" t="s">
        <v>10</v>
      </c>
      <c r="G672" s="3">
        <f t="shared" ca="1" si="10"/>
        <v>11691</v>
      </c>
    </row>
    <row r="673" spans="1:7" x14ac:dyDescent="0.3">
      <c r="A673">
        <v>671</v>
      </c>
      <c r="B673" t="s">
        <v>60</v>
      </c>
      <c r="C673" t="s">
        <v>13</v>
      </c>
      <c r="D673" t="s">
        <v>410</v>
      </c>
      <c r="E673" t="s">
        <v>411</v>
      </c>
      <c r="F673" t="s">
        <v>19</v>
      </c>
      <c r="G673" s="3">
        <f t="shared" ca="1" si="10"/>
        <v>11243</v>
      </c>
    </row>
    <row r="674" spans="1:7" x14ac:dyDescent="0.3">
      <c r="A674">
        <v>672</v>
      </c>
      <c r="B674" t="s">
        <v>60</v>
      </c>
      <c r="C674" t="s">
        <v>13</v>
      </c>
      <c r="D674" t="s">
        <v>241</v>
      </c>
      <c r="E674" t="s">
        <v>412</v>
      </c>
      <c r="F674" t="s">
        <v>10</v>
      </c>
      <c r="G674" s="3">
        <f t="shared" ca="1" si="10"/>
        <v>10554</v>
      </c>
    </row>
    <row r="675" spans="1:7" x14ac:dyDescent="0.3">
      <c r="A675">
        <v>673</v>
      </c>
      <c r="B675" t="s">
        <v>60</v>
      </c>
      <c r="C675" t="s">
        <v>7</v>
      </c>
      <c r="D675" t="s">
        <v>22</v>
      </c>
      <c r="E675" t="s">
        <v>325</v>
      </c>
      <c r="F675" t="s">
        <v>10</v>
      </c>
      <c r="G675" s="3">
        <f t="shared" ca="1" si="10"/>
        <v>7428</v>
      </c>
    </row>
    <row r="676" spans="1:7" x14ac:dyDescent="0.3">
      <c r="A676">
        <v>674</v>
      </c>
      <c r="B676" t="s">
        <v>60</v>
      </c>
      <c r="C676" t="s">
        <v>7</v>
      </c>
      <c r="D676" t="s">
        <v>348</v>
      </c>
      <c r="E676" t="s">
        <v>153</v>
      </c>
      <c r="F676" t="s">
        <v>10</v>
      </c>
      <c r="G676" s="3">
        <f t="shared" ca="1" si="10"/>
        <v>10609</v>
      </c>
    </row>
    <row r="677" spans="1:7" x14ac:dyDescent="0.3">
      <c r="A677">
        <v>675</v>
      </c>
      <c r="B677" t="s">
        <v>60</v>
      </c>
      <c r="C677" t="s">
        <v>7</v>
      </c>
      <c r="D677" t="s">
        <v>348</v>
      </c>
      <c r="E677" t="s">
        <v>153</v>
      </c>
      <c r="F677" t="s">
        <v>10</v>
      </c>
      <c r="G677" s="3">
        <f t="shared" ca="1" si="10"/>
        <v>8153</v>
      </c>
    </row>
    <row r="678" spans="1:7" x14ac:dyDescent="0.3">
      <c r="A678">
        <v>676</v>
      </c>
      <c r="B678" t="s">
        <v>60</v>
      </c>
      <c r="C678" t="s">
        <v>13</v>
      </c>
      <c r="D678" t="s">
        <v>413</v>
      </c>
      <c r="E678" t="s">
        <v>414</v>
      </c>
      <c r="F678" t="s">
        <v>19</v>
      </c>
      <c r="G678" s="3">
        <f t="shared" ca="1" si="10"/>
        <v>10883</v>
      </c>
    </row>
    <row r="679" spans="1:7" x14ac:dyDescent="0.3">
      <c r="A679">
        <v>677</v>
      </c>
      <c r="B679" t="s">
        <v>60</v>
      </c>
      <c r="C679" t="s">
        <v>24</v>
      </c>
      <c r="D679" t="s">
        <v>415</v>
      </c>
      <c r="E679" t="s">
        <v>416</v>
      </c>
      <c r="F679" t="s">
        <v>19</v>
      </c>
      <c r="G679" s="3">
        <f t="shared" ca="1" si="10"/>
        <v>10999</v>
      </c>
    </row>
    <row r="680" spans="1:7" x14ac:dyDescent="0.3">
      <c r="A680">
        <v>678</v>
      </c>
      <c r="B680" t="s">
        <v>60</v>
      </c>
      <c r="C680" t="s">
        <v>19</v>
      </c>
      <c r="D680" t="s">
        <v>417</v>
      </c>
      <c r="E680" t="s">
        <v>418</v>
      </c>
      <c r="F680" t="s">
        <v>10</v>
      </c>
      <c r="G680" s="3">
        <f t="shared" ca="1" si="10"/>
        <v>8149</v>
      </c>
    </row>
    <row r="681" spans="1:7" x14ac:dyDescent="0.3">
      <c r="A681">
        <v>679</v>
      </c>
      <c r="B681" t="s">
        <v>60</v>
      </c>
      <c r="C681" t="s">
        <v>7</v>
      </c>
      <c r="D681" t="s">
        <v>19</v>
      </c>
      <c r="E681" t="s">
        <v>206</v>
      </c>
      <c r="F681" t="s">
        <v>10</v>
      </c>
      <c r="G681" s="3">
        <f t="shared" ca="1" si="10"/>
        <v>7520</v>
      </c>
    </row>
    <row r="682" spans="1:7" x14ac:dyDescent="0.3">
      <c r="A682">
        <v>680</v>
      </c>
      <c r="B682" t="s">
        <v>60</v>
      </c>
      <c r="C682" t="s">
        <v>13</v>
      </c>
      <c r="D682" t="s">
        <v>115</v>
      </c>
      <c r="E682" t="s">
        <v>419</v>
      </c>
      <c r="F682" t="s">
        <v>19</v>
      </c>
      <c r="G682" s="3">
        <f t="shared" ca="1" si="10"/>
        <v>9103</v>
      </c>
    </row>
    <row r="683" spans="1:7" x14ac:dyDescent="0.3">
      <c r="A683">
        <v>681</v>
      </c>
      <c r="B683" t="s">
        <v>60</v>
      </c>
      <c r="C683" t="s">
        <v>420</v>
      </c>
      <c r="D683" t="s">
        <v>421</v>
      </c>
      <c r="E683" t="s">
        <v>422</v>
      </c>
      <c r="F683" t="s">
        <v>423</v>
      </c>
      <c r="G683" s="3">
        <f t="shared" ca="1" si="10"/>
        <v>8878</v>
      </c>
    </row>
    <row r="684" spans="1:7" x14ac:dyDescent="0.3">
      <c r="A684">
        <v>682</v>
      </c>
      <c r="B684" t="s">
        <v>60</v>
      </c>
      <c r="C684" t="s">
        <v>13</v>
      </c>
      <c r="D684" t="s">
        <v>219</v>
      </c>
      <c r="E684" t="s">
        <v>424</v>
      </c>
      <c r="F684" t="s">
        <v>159</v>
      </c>
      <c r="G684" s="3">
        <f t="shared" ca="1" si="10"/>
        <v>11292</v>
      </c>
    </row>
    <row r="685" spans="1:7" x14ac:dyDescent="0.3">
      <c r="A685">
        <v>683</v>
      </c>
      <c r="B685" t="s">
        <v>60</v>
      </c>
      <c r="C685" t="s">
        <v>24</v>
      </c>
      <c r="D685" t="s">
        <v>16</v>
      </c>
      <c r="E685" t="s">
        <v>425</v>
      </c>
      <c r="F685" t="s">
        <v>10</v>
      </c>
      <c r="G685" s="3">
        <f t="shared" ca="1" si="10"/>
        <v>10955</v>
      </c>
    </row>
    <row r="686" spans="1:7" x14ac:dyDescent="0.3">
      <c r="A686">
        <v>684</v>
      </c>
      <c r="B686" t="s">
        <v>60</v>
      </c>
      <c r="C686" t="s">
        <v>19</v>
      </c>
      <c r="D686" t="s">
        <v>19</v>
      </c>
      <c r="E686" t="s">
        <v>19</v>
      </c>
      <c r="F686" t="s">
        <v>19</v>
      </c>
      <c r="G686" s="3">
        <f t="shared" ca="1" si="10"/>
        <v>9130</v>
      </c>
    </row>
    <row r="687" spans="1:7" x14ac:dyDescent="0.3">
      <c r="A687">
        <v>685</v>
      </c>
      <c r="B687" t="s">
        <v>60</v>
      </c>
      <c r="C687" t="s">
        <v>13</v>
      </c>
      <c r="D687" t="s">
        <v>337</v>
      </c>
      <c r="E687" t="s">
        <v>426</v>
      </c>
      <c r="F687" t="s">
        <v>10</v>
      </c>
      <c r="G687" s="3">
        <f t="shared" ca="1" si="10"/>
        <v>9993</v>
      </c>
    </row>
    <row r="688" spans="1:7" x14ac:dyDescent="0.3">
      <c r="A688">
        <v>686</v>
      </c>
      <c r="B688" t="s">
        <v>60</v>
      </c>
      <c r="C688" t="s">
        <v>7</v>
      </c>
      <c r="D688" t="s">
        <v>344</v>
      </c>
      <c r="E688" t="s">
        <v>427</v>
      </c>
      <c r="F688" t="s">
        <v>159</v>
      </c>
      <c r="G688" s="3">
        <f t="shared" ca="1" si="10"/>
        <v>11657</v>
      </c>
    </row>
    <row r="689" spans="1:7" x14ac:dyDescent="0.3">
      <c r="A689">
        <v>687</v>
      </c>
      <c r="B689" t="s">
        <v>60</v>
      </c>
      <c r="C689" t="s">
        <v>13</v>
      </c>
      <c r="D689" t="s">
        <v>428</v>
      </c>
      <c r="E689" t="s">
        <v>149</v>
      </c>
      <c r="F689" t="s">
        <v>10</v>
      </c>
      <c r="G689" s="3">
        <f t="shared" ca="1" si="10"/>
        <v>9562</v>
      </c>
    </row>
    <row r="690" spans="1:7" x14ac:dyDescent="0.3">
      <c r="A690">
        <v>688</v>
      </c>
      <c r="B690" t="s">
        <v>60</v>
      </c>
      <c r="C690" t="s">
        <v>24</v>
      </c>
      <c r="D690" t="s">
        <v>114</v>
      </c>
      <c r="E690" t="s">
        <v>429</v>
      </c>
      <c r="F690" t="s">
        <v>10</v>
      </c>
      <c r="G690" s="3">
        <f t="shared" ca="1" si="10"/>
        <v>6532</v>
      </c>
    </row>
    <row r="691" spans="1:7" x14ac:dyDescent="0.3">
      <c r="A691">
        <v>689</v>
      </c>
      <c r="B691" t="s">
        <v>60</v>
      </c>
      <c r="C691" t="s">
        <v>7</v>
      </c>
      <c r="D691" t="s">
        <v>45</v>
      </c>
      <c r="E691" t="s">
        <v>430</v>
      </c>
      <c r="F691" t="s">
        <v>10</v>
      </c>
      <c r="G691" s="3">
        <f t="shared" ca="1" si="10"/>
        <v>6634</v>
      </c>
    </row>
    <row r="692" spans="1:7" x14ac:dyDescent="0.3">
      <c r="A692">
        <v>690</v>
      </c>
      <c r="B692" t="s">
        <v>60</v>
      </c>
      <c r="C692" t="s">
        <v>13</v>
      </c>
      <c r="D692" t="s">
        <v>91</v>
      </c>
      <c r="E692" t="s">
        <v>120</v>
      </c>
      <c r="F692" t="s">
        <v>10</v>
      </c>
      <c r="G692" s="3">
        <f t="shared" ca="1" si="10"/>
        <v>6902</v>
      </c>
    </row>
    <row r="693" spans="1:7" x14ac:dyDescent="0.3">
      <c r="A693">
        <v>691</v>
      </c>
      <c r="B693" t="s">
        <v>60</v>
      </c>
      <c r="C693" t="s">
        <v>24</v>
      </c>
      <c r="D693" t="s">
        <v>431</v>
      </c>
      <c r="E693" t="s">
        <v>164</v>
      </c>
      <c r="F693" t="s">
        <v>10</v>
      </c>
      <c r="G693" s="3">
        <f t="shared" ca="1" si="10"/>
        <v>10784</v>
      </c>
    </row>
    <row r="694" spans="1:7" x14ac:dyDescent="0.3">
      <c r="A694">
        <v>692</v>
      </c>
      <c r="B694" t="s">
        <v>60</v>
      </c>
      <c r="C694" t="s">
        <v>24</v>
      </c>
      <c r="D694" t="s">
        <v>35</v>
      </c>
      <c r="E694" t="s">
        <v>149</v>
      </c>
      <c r="F694" t="s">
        <v>10</v>
      </c>
      <c r="G694" s="3">
        <f t="shared" ca="1" si="10"/>
        <v>8658</v>
      </c>
    </row>
    <row r="695" spans="1:7" x14ac:dyDescent="0.3">
      <c r="A695">
        <v>693</v>
      </c>
      <c r="B695" t="s">
        <v>60</v>
      </c>
      <c r="C695" t="s">
        <v>13</v>
      </c>
      <c r="D695" t="s">
        <v>176</v>
      </c>
      <c r="E695" t="s">
        <v>19</v>
      </c>
      <c r="F695" t="s">
        <v>10</v>
      </c>
      <c r="G695" s="3">
        <f t="shared" ca="1" si="10"/>
        <v>7451</v>
      </c>
    </row>
    <row r="696" spans="1:7" x14ac:dyDescent="0.3">
      <c r="A696">
        <v>694</v>
      </c>
      <c r="B696" t="s">
        <v>60</v>
      </c>
      <c r="C696" t="s">
        <v>13</v>
      </c>
      <c r="D696" t="s">
        <v>432</v>
      </c>
      <c r="E696" t="s">
        <v>19</v>
      </c>
      <c r="F696" t="s">
        <v>10</v>
      </c>
      <c r="G696" s="3">
        <f t="shared" ca="1" si="10"/>
        <v>10734</v>
      </c>
    </row>
    <row r="697" spans="1:7" x14ac:dyDescent="0.3">
      <c r="A697">
        <v>695</v>
      </c>
      <c r="B697" t="s">
        <v>60</v>
      </c>
      <c r="C697" t="s">
        <v>13</v>
      </c>
      <c r="D697" t="s">
        <v>241</v>
      </c>
      <c r="E697" t="s">
        <v>149</v>
      </c>
      <c r="F697" t="s">
        <v>10</v>
      </c>
      <c r="G697" s="3">
        <f t="shared" ca="1" si="10"/>
        <v>10151</v>
      </c>
    </row>
    <row r="698" spans="1:7" x14ac:dyDescent="0.3">
      <c r="A698">
        <v>696</v>
      </c>
      <c r="B698" t="s">
        <v>60</v>
      </c>
      <c r="C698" t="s">
        <v>13</v>
      </c>
      <c r="D698" t="s">
        <v>433</v>
      </c>
      <c r="E698" t="s">
        <v>434</v>
      </c>
      <c r="F698" t="s">
        <v>10</v>
      </c>
      <c r="G698" s="3">
        <f t="shared" ca="1" si="10"/>
        <v>8030</v>
      </c>
    </row>
    <row r="699" spans="1:7" x14ac:dyDescent="0.3">
      <c r="A699">
        <v>697</v>
      </c>
      <c r="B699" t="s">
        <v>60</v>
      </c>
      <c r="C699" t="s">
        <v>7</v>
      </c>
      <c r="D699" t="s">
        <v>435</v>
      </c>
      <c r="E699" t="s">
        <v>436</v>
      </c>
      <c r="F699" t="s">
        <v>10</v>
      </c>
      <c r="G699" s="3">
        <f t="shared" ca="1" si="10"/>
        <v>7423</v>
      </c>
    </row>
    <row r="700" spans="1:7" x14ac:dyDescent="0.3">
      <c r="A700">
        <v>698</v>
      </c>
      <c r="B700" t="s">
        <v>60</v>
      </c>
      <c r="C700" t="s">
        <v>13</v>
      </c>
      <c r="D700" t="s">
        <v>170</v>
      </c>
      <c r="E700" t="s">
        <v>437</v>
      </c>
      <c r="F700" t="s">
        <v>10</v>
      </c>
      <c r="G700" s="3">
        <f t="shared" ca="1" si="10"/>
        <v>10372</v>
      </c>
    </row>
    <row r="701" spans="1:7" x14ac:dyDescent="0.3">
      <c r="A701">
        <v>699</v>
      </c>
      <c r="B701" t="s">
        <v>60</v>
      </c>
      <c r="C701" t="s">
        <v>19</v>
      </c>
      <c r="D701" t="s">
        <v>19</v>
      </c>
      <c r="E701" t="s">
        <v>19</v>
      </c>
      <c r="F701" t="s">
        <v>19</v>
      </c>
      <c r="G701" s="3">
        <f t="shared" ca="1" si="10"/>
        <v>7891</v>
      </c>
    </row>
    <row r="702" spans="1:7" x14ac:dyDescent="0.3">
      <c r="A702">
        <v>700</v>
      </c>
      <c r="B702" t="s">
        <v>60</v>
      </c>
      <c r="C702" t="s">
        <v>7</v>
      </c>
      <c r="D702" t="s">
        <v>19</v>
      </c>
      <c r="E702" t="s">
        <v>438</v>
      </c>
      <c r="F702" t="s">
        <v>10</v>
      </c>
      <c r="G702" s="3">
        <f t="shared" ca="1" si="10"/>
        <v>11547</v>
      </c>
    </row>
    <row r="703" spans="1:7" x14ac:dyDescent="0.3">
      <c r="A703">
        <v>701</v>
      </c>
      <c r="B703" t="s">
        <v>60</v>
      </c>
      <c r="C703" t="s">
        <v>7</v>
      </c>
      <c r="D703" t="s">
        <v>16</v>
      </c>
      <c r="E703" t="s">
        <v>9</v>
      </c>
      <c r="F703" t="s">
        <v>10</v>
      </c>
      <c r="G703" s="3">
        <f t="shared" ca="1" si="10"/>
        <v>8312</v>
      </c>
    </row>
    <row r="704" spans="1:7" x14ac:dyDescent="0.3">
      <c r="A704">
        <v>702</v>
      </c>
      <c r="B704" t="s">
        <v>60</v>
      </c>
      <c r="C704" t="s">
        <v>13</v>
      </c>
      <c r="D704" t="s">
        <v>45</v>
      </c>
      <c r="E704" t="s">
        <v>439</v>
      </c>
      <c r="F704" t="s">
        <v>10</v>
      </c>
      <c r="G704" s="3">
        <f t="shared" ca="1" si="10"/>
        <v>9865</v>
      </c>
    </row>
    <row r="705" spans="1:7" x14ac:dyDescent="0.3">
      <c r="A705">
        <v>703</v>
      </c>
      <c r="B705" t="s">
        <v>60</v>
      </c>
      <c r="C705" t="s">
        <v>7</v>
      </c>
      <c r="D705" t="s">
        <v>122</v>
      </c>
      <c r="E705" t="s">
        <v>440</v>
      </c>
      <c r="F705" t="s">
        <v>31</v>
      </c>
      <c r="G705" s="3">
        <f t="shared" ca="1" si="10"/>
        <v>11668</v>
      </c>
    </row>
    <row r="706" spans="1:7" x14ac:dyDescent="0.3">
      <c r="A706">
        <v>704</v>
      </c>
      <c r="B706" t="s">
        <v>60</v>
      </c>
      <c r="C706" t="s">
        <v>24</v>
      </c>
      <c r="D706" t="s">
        <v>43</v>
      </c>
      <c r="E706" t="s">
        <v>441</v>
      </c>
      <c r="F706" t="s">
        <v>10</v>
      </c>
      <c r="G706" s="3">
        <f t="shared" ref="G706:G769" ca="1" si="11">RANDBETWEEN(6500,12000)</f>
        <v>11408</v>
      </c>
    </row>
    <row r="707" spans="1:7" x14ac:dyDescent="0.3">
      <c r="A707">
        <v>705</v>
      </c>
      <c r="B707" t="s">
        <v>60</v>
      </c>
      <c r="C707" t="s">
        <v>13</v>
      </c>
      <c r="D707" t="s">
        <v>115</v>
      </c>
      <c r="E707" t="s">
        <v>149</v>
      </c>
      <c r="F707" t="s">
        <v>10</v>
      </c>
      <c r="G707" s="3">
        <f t="shared" ca="1" si="11"/>
        <v>8331</v>
      </c>
    </row>
    <row r="708" spans="1:7" x14ac:dyDescent="0.3">
      <c r="A708">
        <v>706</v>
      </c>
      <c r="B708" t="s">
        <v>60</v>
      </c>
      <c r="C708" t="s">
        <v>13</v>
      </c>
      <c r="D708" t="s">
        <v>431</v>
      </c>
      <c r="E708" t="s">
        <v>442</v>
      </c>
      <c r="F708" t="s">
        <v>10</v>
      </c>
      <c r="G708" s="3">
        <f t="shared" ca="1" si="11"/>
        <v>11183</v>
      </c>
    </row>
    <row r="709" spans="1:7" x14ac:dyDescent="0.3">
      <c r="A709">
        <v>707</v>
      </c>
      <c r="B709" t="s">
        <v>60</v>
      </c>
      <c r="C709" t="s">
        <v>7</v>
      </c>
      <c r="D709" t="s">
        <v>348</v>
      </c>
      <c r="E709" t="s">
        <v>19</v>
      </c>
      <c r="F709" t="s">
        <v>19</v>
      </c>
      <c r="G709" s="3">
        <f t="shared" ca="1" si="11"/>
        <v>9834</v>
      </c>
    </row>
    <row r="710" spans="1:7" x14ac:dyDescent="0.3">
      <c r="A710">
        <v>708</v>
      </c>
      <c r="B710" t="s">
        <v>60</v>
      </c>
      <c r="C710" t="s">
        <v>7</v>
      </c>
      <c r="D710" t="s">
        <v>19</v>
      </c>
      <c r="E710" t="s">
        <v>438</v>
      </c>
      <c r="F710" t="s">
        <v>10</v>
      </c>
      <c r="G710" s="3">
        <f t="shared" ca="1" si="11"/>
        <v>8145</v>
      </c>
    </row>
    <row r="711" spans="1:7" x14ac:dyDescent="0.3">
      <c r="A711">
        <v>709</v>
      </c>
      <c r="B711" t="s">
        <v>60</v>
      </c>
      <c r="C711" t="s">
        <v>7</v>
      </c>
      <c r="D711" t="s">
        <v>16</v>
      </c>
      <c r="E711" t="s">
        <v>9</v>
      </c>
      <c r="F711" t="s">
        <v>10</v>
      </c>
      <c r="G711" s="3">
        <f t="shared" ca="1" si="11"/>
        <v>10383</v>
      </c>
    </row>
    <row r="712" spans="1:7" x14ac:dyDescent="0.3">
      <c r="A712">
        <v>710</v>
      </c>
      <c r="B712" t="s">
        <v>60</v>
      </c>
      <c r="C712" t="s">
        <v>13</v>
      </c>
      <c r="D712" t="s">
        <v>45</v>
      </c>
      <c r="E712" t="s">
        <v>439</v>
      </c>
      <c r="F712" t="s">
        <v>10</v>
      </c>
      <c r="G712" s="3">
        <f t="shared" ca="1" si="11"/>
        <v>7841</v>
      </c>
    </row>
    <row r="713" spans="1:7" x14ac:dyDescent="0.3">
      <c r="A713">
        <v>711</v>
      </c>
      <c r="B713" t="s">
        <v>60</v>
      </c>
      <c r="C713" t="s">
        <v>7</v>
      </c>
      <c r="D713" t="s">
        <v>122</v>
      </c>
      <c r="E713" t="s">
        <v>440</v>
      </c>
      <c r="F713" t="s">
        <v>31</v>
      </c>
      <c r="G713" s="3">
        <f t="shared" ca="1" si="11"/>
        <v>10819</v>
      </c>
    </row>
    <row r="714" spans="1:7" x14ac:dyDescent="0.3">
      <c r="A714">
        <v>712</v>
      </c>
      <c r="B714" t="s">
        <v>60</v>
      </c>
      <c r="C714" t="s">
        <v>24</v>
      </c>
      <c r="D714" t="s">
        <v>43</v>
      </c>
      <c r="E714" t="s">
        <v>441</v>
      </c>
      <c r="F714" t="s">
        <v>10</v>
      </c>
      <c r="G714" s="3">
        <f t="shared" ca="1" si="11"/>
        <v>9276</v>
      </c>
    </row>
    <row r="715" spans="1:7" x14ac:dyDescent="0.3">
      <c r="A715">
        <v>713</v>
      </c>
      <c r="B715" t="s">
        <v>60</v>
      </c>
      <c r="C715" t="s">
        <v>13</v>
      </c>
      <c r="D715" t="s">
        <v>115</v>
      </c>
      <c r="E715" t="s">
        <v>149</v>
      </c>
      <c r="F715" t="s">
        <v>10</v>
      </c>
      <c r="G715" s="3">
        <f t="shared" ca="1" si="11"/>
        <v>11502</v>
      </c>
    </row>
    <row r="716" spans="1:7" x14ac:dyDescent="0.3">
      <c r="A716">
        <v>714</v>
      </c>
      <c r="B716" t="s">
        <v>60</v>
      </c>
      <c r="C716" t="s">
        <v>13</v>
      </c>
      <c r="D716" t="s">
        <v>431</v>
      </c>
      <c r="E716" t="s">
        <v>442</v>
      </c>
      <c r="F716" t="s">
        <v>10</v>
      </c>
      <c r="G716" s="3">
        <f t="shared" ca="1" si="11"/>
        <v>7416</v>
      </c>
    </row>
    <row r="717" spans="1:7" x14ac:dyDescent="0.3">
      <c r="A717">
        <v>715</v>
      </c>
      <c r="B717" t="s">
        <v>443</v>
      </c>
      <c r="C717" t="s">
        <v>13</v>
      </c>
      <c r="D717" t="s">
        <v>444</v>
      </c>
      <c r="E717" t="s">
        <v>445</v>
      </c>
      <c r="F717" t="s">
        <v>10</v>
      </c>
      <c r="G717" s="3">
        <f t="shared" ca="1" si="11"/>
        <v>11561</v>
      </c>
    </row>
    <row r="718" spans="1:7" x14ac:dyDescent="0.3">
      <c r="A718">
        <v>716</v>
      </c>
      <c r="B718" t="s">
        <v>443</v>
      </c>
      <c r="C718" t="s">
        <v>13</v>
      </c>
      <c r="D718" t="s">
        <v>446</v>
      </c>
      <c r="E718" t="s">
        <v>447</v>
      </c>
      <c r="F718" t="s">
        <v>10</v>
      </c>
      <c r="G718" s="3">
        <f t="shared" ca="1" si="11"/>
        <v>10371</v>
      </c>
    </row>
    <row r="719" spans="1:7" x14ac:dyDescent="0.3">
      <c r="A719">
        <v>717</v>
      </c>
      <c r="B719" t="s">
        <v>443</v>
      </c>
      <c r="C719" t="s">
        <v>13</v>
      </c>
      <c r="D719" t="s">
        <v>448</v>
      </c>
      <c r="E719" t="s">
        <v>26</v>
      </c>
      <c r="F719" t="s">
        <v>10</v>
      </c>
      <c r="G719" s="3">
        <f t="shared" ca="1" si="11"/>
        <v>10089</v>
      </c>
    </row>
    <row r="720" spans="1:7" x14ac:dyDescent="0.3">
      <c r="A720">
        <v>718</v>
      </c>
      <c r="B720" t="s">
        <v>443</v>
      </c>
      <c r="C720" t="s">
        <v>7</v>
      </c>
      <c r="D720" t="s">
        <v>449</v>
      </c>
      <c r="E720" t="s">
        <v>19</v>
      </c>
      <c r="F720" t="s">
        <v>10</v>
      </c>
      <c r="G720" s="3">
        <f t="shared" ca="1" si="11"/>
        <v>11513</v>
      </c>
    </row>
    <row r="721" spans="1:7" x14ac:dyDescent="0.3">
      <c r="A721">
        <v>719</v>
      </c>
      <c r="B721" t="s">
        <v>443</v>
      </c>
      <c r="C721" t="s">
        <v>13</v>
      </c>
      <c r="D721" t="s">
        <v>450</v>
      </c>
      <c r="E721" t="s">
        <v>153</v>
      </c>
      <c r="F721" t="s">
        <v>10</v>
      </c>
      <c r="G721" s="3">
        <f t="shared" ca="1" si="11"/>
        <v>6657</v>
      </c>
    </row>
    <row r="722" spans="1:7" x14ac:dyDescent="0.3">
      <c r="A722">
        <v>720</v>
      </c>
      <c r="B722" t="s">
        <v>443</v>
      </c>
      <c r="C722" t="s">
        <v>7</v>
      </c>
      <c r="D722" t="s">
        <v>22</v>
      </c>
      <c r="E722" t="s">
        <v>451</v>
      </c>
      <c r="F722" t="s">
        <v>10</v>
      </c>
      <c r="G722" s="3">
        <f t="shared" ca="1" si="11"/>
        <v>7286</v>
      </c>
    </row>
    <row r="723" spans="1:7" x14ac:dyDescent="0.3">
      <c r="A723">
        <v>721</v>
      </c>
      <c r="B723" t="s">
        <v>443</v>
      </c>
      <c r="C723" t="s">
        <v>7</v>
      </c>
      <c r="D723" t="s">
        <v>452</v>
      </c>
      <c r="E723" t="s">
        <v>26</v>
      </c>
      <c r="F723" t="s">
        <v>10</v>
      </c>
      <c r="G723" s="3">
        <f t="shared" ca="1" si="11"/>
        <v>9563</v>
      </c>
    </row>
    <row r="724" spans="1:7" x14ac:dyDescent="0.3">
      <c r="A724">
        <v>722</v>
      </c>
      <c r="B724" t="s">
        <v>443</v>
      </c>
      <c r="C724" t="s">
        <v>24</v>
      </c>
      <c r="D724" t="s">
        <v>114</v>
      </c>
      <c r="E724" t="s">
        <v>289</v>
      </c>
      <c r="F724" t="s">
        <v>10</v>
      </c>
      <c r="G724" s="3">
        <f t="shared" ca="1" si="11"/>
        <v>10802</v>
      </c>
    </row>
    <row r="725" spans="1:7" x14ac:dyDescent="0.3">
      <c r="A725">
        <v>723</v>
      </c>
      <c r="B725" t="s">
        <v>443</v>
      </c>
      <c r="C725" t="s">
        <v>13</v>
      </c>
      <c r="D725" t="s">
        <v>453</v>
      </c>
      <c r="E725" t="s">
        <v>153</v>
      </c>
      <c r="F725" t="s">
        <v>19</v>
      </c>
      <c r="G725" s="3">
        <f t="shared" ca="1" si="11"/>
        <v>10892</v>
      </c>
    </row>
    <row r="726" spans="1:7" x14ac:dyDescent="0.3">
      <c r="A726">
        <v>724</v>
      </c>
      <c r="B726" t="s">
        <v>443</v>
      </c>
      <c r="C726" t="s">
        <v>19</v>
      </c>
      <c r="D726" t="s">
        <v>19</v>
      </c>
      <c r="E726" t="s">
        <v>19</v>
      </c>
      <c r="F726" t="s">
        <v>19</v>
      </c>
      <c r="G726" s="3">
        <f t="shared" ca="1" si="11"/>
        <v>9774</v>
      </c>
    </row>
    <row r="727" spans="1:7" x14ac:dyDescent="0.3">
      <c r="A727">
        <v>725</v>
      </c>
      <c r="B727" t="s">
        <v>443</v>
      </c>
      <c r="C727" t="s">
        <v>13</v>
      </c>
      <c r="D727" t="s">
        <v>444</v>
      </c>
      <c r="E727" t="s">
        <v>445</v>
      </c>
      <c r="F727" t="s">
        <v>10</v>
      </c>
      <c r="G727" s="3">
        <f t="shared" ca="1" si="11"/>
        <v>8209</v>
      </c>
    </row>
    <row r="728" spans="1:7" x14ac:dyDescent="0.3">
      <c r="A728">
        <v>726</v>
      </c>
      <c r="B728" t="s">
        <v>443</v>
      </c>
      <c r="C728" t="s">
        <v>13</v>
      </c>
      <c r="D728" t="s">
        <v>446</v>
      </c>
      <c r="E728" t="s">
        <v>447</v>
      </c>
      <c r="F728" t="s">
        <v>10</v>
      </c>
      <c r="G728" s="3">
        <f t="shared" ca="1" si="11"/>
        <v>8236</v>
      </c>
    </row>
    <row r="729" spans="1:7" x14ac:dyDescent="0.3">
      <c r="A729">
        <v>727</v>
      </c>
      <c r="B729" t="s">
        <v>443</v>
      </c>
      <c r="C729" t="s">
        <v>13</v>
      </c>
      <c r="D729" t="s">
        <v>448</v>
      </c>
      <c r="E729" t="s">
        <v>26</v>
      </c>
      <c r="F729" t="s">
        <v>10</v>
      </c>
      <c r="G729" s="3">
        <f t="shared" ca="1" si="11"/>
        <v>7839</v>
      </c>
    </row>
    <row r="730" spans="1:7" x14ac:dyDescent="0.3">
      <c r="A730">
        <v>728</v>
      </c>
      <c r="B730" t="s">
        <v>443</v>
      </c>
      <c r="C730" t="s">
        <v>7</v>
      </c>
      <c r="D730" t="s">
        <v>449</v>
      </c>
      <c r="E730" t="s">
        <v>19</v>
      </c>
      <c r="F730" t="s">
        <v>10</v>
      </c>
      <c r="G730" s="3">
        <f t="shared" ca="1" si="11"/>
        <v>11035</v>
      </c>
    </row>
    <row r="731" spans="1:7" x14ac:dyDescent="0.3">
      <c r="A731">
        <v>729</v>
      </c>
      <c r="B731" t="s">
        <v>443</v>
      </c>
      <c r="C731" t="s">
        <v>13</v>
      </c>
      <c r="D731" t="s">
        <v>450</v>
      </c>
      <c r="E731" t="s">
        <v>153</v>
      </c>
      <c r="F731" t="s">
        <v>10</v>
      </c>
      <c r="G731" s="3">
        <f t="shared" ca="1" si="11"/>
        <v>11119</v>
      </c>
    </row>
    <row r="732" spans="1:7" x14ac:dyDescent="0.3">
      <c r="A732">
        <v>730</v>
      </c>
      <c r="B732" t="s">
        <v>443</v>
      </c>
      <c r="C732" t="s">
        <v>7</v>
      </c>
      <c r="D732" t="s">
        <v>177</v>
      </c>
      <c r="E732" t="s">
        <v>178</v>
      </c>
      <c r="F732" t="s">
        <v>10</v>
      </c>
      <c r="G732" s="3">
        <f t="shared" ca="1" si="11"/>
        <v>10863</v>
      </c>
    </row>
    <row r="733" spans="1:7" x14ac:dyDescent="0.3">
      <c r="A733">
        <v>731</v>
      </c>
      <c r="B733" t="s">
        <v>443</v>
      </c>
      <c r="C733" t="s">
        <v>13</v>
      </c>
      <c r="D733" t="s">
        <v>140</v>
      </c>
      <c r="E733" t="s">
        <v>454</v>
      </c>
      <c r="F733" t="s">
        <v>10</v>
      </c>
      <c r="G733" s="3">
        <f t="shared" ca="1" si="11"/>
        <v>10418</v>
      </c>
    </row>
    <row r="734" spans="1:7" x14ac:dyDescent="0.3">
      <c r="A734">
        <v>732</v>
      </c>
      <c r="B734" t="s">
        <v>443</v>
      </c>
      <c r="C734" t="s">
        <v>13</v>
      </c>
      <c r="D734" t="s">
        <v>446</v>
      </c>
      <c r="E734" t="s">
        <v>153</v>
      </c>
      <c r="F734" t="s">
        <v>10</v>
      </c>
      <c r="G734" s="3">
        <f t="shared" ca="1" si="11"/>
        <v>9367</v>
      </c>
    </row>
    <row r="735" spans="1:7" x14ac:dyDescent="0.3">
      <c r="A735">
        <v>733</v>
      </c>
      <c r="B735" t="s">
        <v>443</v>
      </c>
      <c r="C735" t="s">
        <v>455</v>
      </c>
      <c r="D735" t="s">
        <v>456</v>
      </c>
      <c r="E735" t="s">
        <v>457</v>
      </c>
      <c r="F735" t="s">
        <v>423</v>
      </c>
      <c r="G735" s="3">
        <f t="shared" ca="1" si="11"/>
        <v>9490</v>
      </c>
    </row>
    <row r="736" spans="1:7" x14ac:dyDescent="0.3">
      <c r="A736">
        <v>734</v>
      </c>
      <c r="B736" t="s">
        <v>443</v>
      </c>
      <c r="C736" t="s">
        <v>7</v>
      </c>
      <c r="D736" t="s">
        <v>452</v>
      </c>
      <c r="E736" t="s">
        <v>26</v>
      </c>
      <c r="F736" t="s">
        <v>10</v>
      </c>
      <c r="G736" s="3">
        <f t="shared" ca="1" si="11"/>
        <v>7195</v>
      </c>
    </row>
    <row r="737" spans="1:7" x14ac:dyDescent="0.3">
      <c r="A737">
        <v>735</v>
      </c>
      <c r="B737" t="s">
        <v>443</v>
      </c>
      <c r="C737" t="s">
        <v>7</v>
      </c>
      <c r="D737" t="s">
        <v>172</v>
      </c>
      <c r="E737" t="s">
        <v>173</v>
      </c>
      <c r="F737" t="s">
        <v>10</v>
      </c>
      <c r="G737" s="3">
        <f t="shared" ca="1" si="11"/>
        <v>7188</v>
      </c>
    </row>
    <row r="738" spans="1:7" x14ac:dyDescent="0.3">
      <c r="A738">
        <v>736</v>
      </c>
      <c r="B738" t="s">
        <v>443</v>
      </c>
      <c r="C738" t="s">
        <v>7</v>
      </c>
      <c r="D738" t="s">
        <v>179</v>
      </c>
      <c r="E738" t="s">
        <v>19</v>
      </c>
      <c r="F738" t="s">
        <v>10</v>
      </c>
      <c r="G738" s="3">
        <f t="shared" ca="1" si="11"/>
        <v>6720</v>
      </c>
    </row>
    <row r="739" spans="1:7" x14ac:dyDescent="0.3">
      <c r="A739">
        <v>737</v>
      </c>
      <c r="B739" t="s">
        <v>443</v>
      </c>
      <c r="C739" t="s">
        <v>13</v>
      </c>
      <c r="D739" t="s">
        <v>448</v>
      </c>
      <c r="E739" t="s">
        <v>26</v>
      </c>
      <c r="F739" t="s">
        <v>10</v>
      </c>
      <c r="G739" s="3">
        <f t="shared" ca="1" si="11"/>
        <v>7826</v>
      </c>
    </row>
    <row r="740" spans="1:7" x14ac:dyDescent="0.3">
      <c r="A740">
        <v>738</v>
      </c>
      <c r="B740" t="s">
        <v>443</v>
      </c>
      <c r="C740" t="s">
        <v>7</v>
      </c>
      <c r="D740" t="s">
        <v>119</v>
      </c>
      <c r="E740" t="s">
        <v>458</v>
      </c>
      <c r="F740" t="s">
        <v>10</v>
      </c>
      <c r="G740" s="3">
        <f t="shared" ca="1" si="11"/>
        <v>9329</v>
      </c>
    </row>
    <row r="741" spans="1:7" x14ac:dyDescent="0.3">
      <c r="A741">
        <v>739</v>
      </c>
      <c r="B741" t="s">
        <v>443</v>
      </c>
      <c r="C741" t="s">
        <v>13</v>
      </c>
      <c r="D741" t="s">
        <v>459</v>
      </c>
      <c r="E741" t="s">
        <v>153</v>
      </c>
      <c r="F741" t="s">
        <v>10</v>
      </c>
      <c r="G741" s="3">
        <f t="shared" ca="1" si="11"/>
        <v>10378</v>
      </c>
    </row>
    <row r="742" spans="1:7" x14ac:dyDescent="0.3">
      <c r="A742">
        <v>740</v>
      </c>
      <c r="B742" t="s">
        <v>443</v>
      </c>
      <c r="C742" t="s">
        <v>7</v>
      </c>
      <c r="D742" t="s">
        <v>177</v>
      </c>
      <c r="E742" t="s">
        <v>178</v>
      </c>
      <c r="F742" t="s">
        <v>10</v>
      </c>
      <c r="G742" s="3">
        <f t="shared" ca="1" si="11"/>
        <v>10881</v>
      </c>
    </row>
    <row r="743" spans="1:7" x14ac:dyDescent="0.3">
      <c r="A743">
        <v>741</v>
      </c>
      <c r="B743" t="s">
        <v>443</v>
      </c>
      <c r="C743" t="s">
        <v>13</v>
      </c>
      <c r="D743" t="s">
        <v>140</v>
      </c>
      <c r="E743" t="s">
        <v>454</v>
      </c>
      <c r="F743" t="s">
        <v>10</v>
      </c>
      <c r="G743" s="3">
        <f t="shared" ca="1" si="11"/>
        <v>6637</v>
      </c>
    </row>
    <row r="744" spans="1:7" x14ac:dyDescent="0.3">
      <c r="A744">
        <v>742</v>
      </c>
      <c r="B744" t="s">
        <v>443</v>
      </c>
      <c r="C744" t="s">
        <v>13</v>
      </c>
      <c r="D744" t="s">
        <v>446</v>
      </c>
      <c r="E744" t="s">
        <v>153</v>
      </c>
      <c r="F744" t="s">
        <v>10</v>
      </c>
      <c r="G744" s="3">
        <f t="shared" ca="1" si="11"/>
        <v>8043</v>
      </c>
    </row>
    <row r="745" spans="1:7" x14ac:dyDescent="0.3">
      <c r="A745">
        <v>743</v>
      </c>
      <c r="B745" t="s">
        <v>443</v>
      </c>
      <c r="C745" t="s">
        <v>455</v>
      </c>
      <c r="D745" t="s">
        <v>456</v>
      </c>
      <c r="E745" t="s">
        <v>457</v>
      </c>
      <c r="F745" t="s">
        <v>423</v>
      </c>
      <c r="G745" s="3">
        <f t="shared" ca="1" si="11"/>
        <v>9709</v>
      </c>
    </row>
    <row r="746" spans="1:7" x14ac:dyDescent="0.3">
      <c r="A746">
        <v>744</v>
      </c>
      <c r="B746" t="s">
        <v>443</v>
      </c>
      <c r="C746" t="s">
        <v>7</v>
      </c>
      <c r="D746" t="s">
        <v>452</v>
      </c>
      <c r="E746" t="s">
        <v>26</v>
      </c>
      <c r="F746" t="s">
        <v>10</v>
      </c>
      <c r="G746" s="3">
        <f t="shared" ca="1" si="11"/>
        <v>10093</v>
      </c>
    </row>
    <row r="747" spans="1:7" x14ac:dyDescent="0.3">
      <c r="A747">
        <v>745</v>
      </c>
      <c r="B747" t="s">
        <v>443</v>
      </c>
      <c r="C747" t="s">
        <v>7</v>
      </c>
      <c r="D747" t="s">
        <v>172</v>
      </c>
      <c r="E747" t="s">
        <v>173</v>
      </c>
      <c r="F747" t="s">
        <v>10</v>
      </c>
      <c r="G747" s="3">
        <f t="shared" ca="1" si="11"/>
        <v>6780</v>
      </c>
    </row>
    <row r="748" spans="1:7" x14ac:dyDescent="0.3">
      <c r="A748">
        <v>746</v>
      </c>
      <c r="B748" t="s">
        <v>443</v>
      </c>
      <c r="C748" t="s">
        <v>7</v>
      </c>
      <c r="D748" t="s">
        <v>179</v>
      </c>
      <c r="E748" t="s">
        <v>19</v>
      </c>
      <c r="F748" t="s">
        <v>10</v>
      </c>
      <c r="G748" s="3">
        <f t="shared" ca="1" si="11"/>
        <v>10729</v>
      </c>
    </row>
    <row r="749" spans="1:7" x14ac:dyDescent="0.3">
      <c r="A749">
        <v>747</v>
      </c>
      <c r="B749" t="s">
        <v>443</v>
      </c>
      <c r="C749" t="s">
        <v>13</v>
      </c>
      <c r="D749" t="s">
        <v>448</v>
      </c>
      <c r="E749" t="s">
        <v>26</v>
      </c>
      <c r="F749" t="s">
        <v>10</v>
      </c>
      <c r="G749" s="3">
        <f t="shared" ca="1" si="11"/>
        <v>7274</v>
      </c>
    </row>
    <row r="750" spans="1:7" x14ac:dyDescent="0.3">
      <c r="A750">
        <v>748</v>
      </c>
      <c r="B750" t="s">
        <v>443</v>
      </c>
      <c r="C750" t="s">
        <v>7</v>
      </c>
      <c r="D750" t="s">
        <v>119</v>
      </c>
      <c r="E750" t="s">
        <v>458</v>
      </c>
      <c r="F750" t="s">
        <v>10</v>
      </c>
      <c r="G750" s="3">
        <f t="shared" ca="1" si="11"/>
        <v>10524</v>
      </c>
    </row>
    <row r="751" spans="1:7" x14ac:dyDescent="0.3">
      <c r="A751">
        <v>749</v>
      </c>
      <c r="B751" t="s">
        <v>443</v>
      </c>
      <c r="C751" t="s">
        <v>13</v>
      </c>
      <c r="D751" t="s">
        <v>459</v>
      </c>
      <c r="E751" t="s">
        <v>153</v>
      </c>
      <c r="F751" t="s">
        <v>10</v>
      </c>
      <c r="G751" s="3">
        <f t="shared" ca="1" si="11"/>
        <v>8989</v>
      </c>
    </row>
    <row r="752" spans="1:7" x14ac:dyDescent="0.3">
      <c r="A752">
        <v>750</v>
      </c>
      <c r="B752" t="s">
        <v>443</v>
      </c>
      <c r="C752" t="s">
        <v>7</v>
      </c>
      <c r="D752" t="s">
        <v>179</v>
      </c>
      <c r="E752" t="s">
        <v>19</v>
      </c>
      <c r="F752" t="s">
        <v>19</v>
      </c>
      <c r="G752" s="3">
        <f t="shared" ca="1" si="11"/>
        <v>11261</v>
      </c>
    </row>
    <row r="753" spans="1:7" x14ac:dyDescent="0.3">
      <c r="A753">
        <v>751</v>
      </c>
      <c r="B753" t="s">
        <v>443</v>
      </c>
      <c r="C753" t="s">
        <v>13</v>
      </c>
      <c r="D753" t="s">
        <v>460</v>
      </c>
      <c r="E753" t="s">
        <v>153</v>
      </c>
      <c r="F753" t="s">
        <v>10</v>
      </c>
      <c r="G753" s="3">
        <f t="shared" ca="1" si="11"/>
        <v>11082</v>
      </c>
    </row>
    <row r="754" spans="1:7" x14ac:dyDescent="0.3">
      <c r="A754">
        <v>752</v>
      </c>
      <c r="B754" t="s">
        <v>443</v>
      </c>
      <c r="C754" t="s">
        <v>13</v>
      </c>
      <c r="D754" t="s">
        <v>453</v>
      </c>
      <c r="E754" t="s">
        <v>153</v>
      </c>
      <c r="F754" t="s">
        <v>19</v>
      </c>
      <c r="G754" s="3">
        <f t="shared" ca="1" si="11"/>
        <v>6735</v>
      </c>
    </row>
    <row r="755" spans="1:7" x14ac:dyDescent="0.3">
      <c r="A755">
        <v>753</v>
      </c>
      <c r="B755" t="s">
        <v>443</v>
      </c>
      <c r="C755" t="s">
        <v>24</v>
      </c>
      <c r="D755" t="s">
        <v>461</v>
      </c>
      <c r="E755" t="s">
        <v>19</v>
      </c>
      <c r="F755" t="s">
        <v>10</v>
      </c>
      <c r="G755" s="3">
        <f t="shared" ca="1" si="11"/>
        <v>10630</v>
      </c>
    </row>
    <row r="756" spans="1:7" x14ac:dyDescent="0.3">
      <c r="A756">
        <v>754</v>
      </c>
      <c r="B756" t="s">
        <v>443</v>
      </c>
      <c r="C756" t="s">
        <v>13</v>
      </c>
      <c r="D756" t="s">
        <v>63</v>
      </c>
      <c r="E756" t="s">
        <v>64</v>
      </c>
      <c r="F756" t="s">
        <v>10</v>
      </c>
      <c r="G756" s="3">
        <f t="shared" ca="1" si="11"/>
        <v>10768</v>
      </c>
    </row>
    <row r="757" spans="1:7" x14ac:dyDescent="0.3">
      <c r="A757">
        <v>755</v>
      </c>
      <c r="B757" t="s">
        <v>443</v>
      </c>
      <c r="C757" t="s">
        <v>7</v>
      </c>
      <c r="D757" t="s">
        <v>462</v>
      </c>
      <c r="E757" t="s">
        <v>153</v>
      </c>
      <c r="F757" t="s">
        <v>10</v>
      </c>
      <c r="G757" s="3">
        <f t="shared" ca="1" si="11"/>
        <v>9775</v>
      </c>
    </row>
    <row r="758" spans="1:7" x14ac:dyDescent="0.3">
      <c r="A758">
        <v>756</v>
      </c>
      <c r="B758" t="s">
        <v>443</v>
      </c>
      <c r="C758" t="s">
        <v>13</v>
      </c>
      <c r="D758" t="s">
        <v>212</v>
      </c>
      <c r="E758" t="s">
        <v>213</v>
      </c>
      <c r="F758" t="s">
        <v>19</v>
      </c>
      <c r="G758" s="3">
        <f t="shared" ca="1" si="11"/>
        <v>6575</v>
      </c>
    </row>
    <row r="759" spans="1:7" x14ac:dyDescent="0.3">
      <c r="A759">
        <v>757</v>
      </c>
      <c r="B759" t="s">
        <v>443</v>
      </c>
      <c r="C759" t="s">
        <v>7</v>
      </c>
      <c r="D759" t="s">
        <v>463</v>
      </c>
      <c r="E759" t="s">
        <v>464</v>
      </c>
      <c r="F759" t="s">
        <v>10</v>
      </c>
      <c r="G759" s="3">
        <f t="shared" ca="1" si="11"/>
        <v>10783</v>
      </c>
    </row>
    <row r="760" spans="1:7" x14ac:dyDescent="0.3">
      <c r="A760">
        <v>758</v>
      </c>
      <c r="B760" t="s">
        <v>443</v>
      </c>
      <c r="C760" t="s">
        <v>19</v>
      </c>
      <c r="D760" t="s">
        <v>19</v>
      </c>
      <c r="E760" t="s">
        <v>19</v>
      </c>
      <c r="F760" t="s">
        <v>19</v>
      </c>
      <c r="G760" s="3">
        <f t="shared" ca="1" si="11"/>
        <v>8238</v>
      </c>
    </row>
    <row r="761" spans="1:7" x14ac:dyDescent="0.3">
      <c r="A761">
        <v>759</v>
      </c>
      <c r="B761" t="s">
        <v>443</v>
      </c>
      <c r="C761" t="s">
        <v>13</v>
      </c>
      <c r="D761" t="s">
        <v>231</v>
      </c>
      <c r="E761" t="s">
        <v>232</v>
      </c>
      <c r="F761" t="s">
        <v>291</v>
      </c>
      <c r="G761" s="3">
        <f t="shared" ca="1" si="11"/>
        <v>11419</v>
      </c>
    </row>
    <row r="762" spans="1:7" x14ac:dyDescent="0.3">
      <c r="A762">
        <v>760</v>
      </c>
      <c r="B762" t="s">
        <v>443</v>
      </c>
      <c r="C762" t="s">
        <v>7</v>
      </c>
      <c r="D762" t="s">
        <v>19</v>
      </c>
      <c r="E762" t="s">
        <v>465</v>
      </c>
      <c r="F762" t="s">
        <v>10</v>
      </c>
      <c r="G762" s="3">
        <f t="shared" ca="1" si="11"/>
        <v>9123</v>
      </c>
    </row>
    <row r="763" spans="1:7" x14ac:dyDescent="0.3">
      <c r="A763">
        <v>761</v>
      </c>
      <c r="B763" t="s">
        <v>443</v>
      </c>
      <c r="C763" t="s">
        <v>24</v>
      </c>
      <c r="D763" t="s">
        <v>16</v>
      </c>
      <c r="E763" t="s">
        <v>466</v>
      </c>
      <c r="F763" t="s">
        <v>10</v>
      </c>
      <c r="G763" s="3">
        <f t="shared" ca="1" si="11"/>
        <v>7740</v>
      </c>
    </row>
    <row r="764" spans="1:7" x14ac:dyDescent="0.3">
      <c r="A764">
        <v>762</v>
      </c>
      <c r="B764" t="s">
        <v>443</v>
      </c>
      <c r="C764" t="s">
        <v>13</v>
      </c>
      <c r="D764" t="s">
        <v>111</v>
      </c>
      <c r="E764" t="s">
        <v>15</v>
      </c>
      <c r="F764" t="s">
        <v>10</v>
      </c>
      <c r="G764" s="3">
        <f t="shared" ca="1" si="11"/>
        <v>9740</v>
      </c>
    </row>
    <row r="765" spans="1:7" x14ac:dyDescent="0.3">
      <c r="A765">
        <v>763</v>
      </c>
      <c r="B765" t="s">
        <v>443</v>
      </c>
      <c r="C765" t="s">
        <v>7</v>
      </c>
      <c r="D765" t="s">
        <v>105</v>
      </c>
      <c r="E765" t="s">
        <v>264</v>
      </c>
      <c r="F765" t="s">
        <v>10</v>
      </c>
      <c r="G765" s="3">
        <f t="shared" ca="1" si="11"/>
        <v>7674</v>
      </c>
    </row>
    <row r="766" spans="1:7" x14ac:dyDescent="0.3">
      <c r="A766">
        <v>764</v>
      </c>
      <c r="B766" t="s">
        <v>443</v>
      </c>
      <c r="C766" t="s">
        <v>7</v>
      </c>
      <c r="D766" t="s">
        <v>311</v>
      </c>
      <c r="E766" t="s">
        <v>312</v>
      </c>
      <c r="F766" t="s">
        <v>10</v>
      </c>
      <c r="G766" s="3">
        <f t="shared" ca="1" si="11"/>
        <v>9437</v>
      </c>
    </row>
    <row r="767" spans="1:7" x14ac:dyDescent="0.3">
      <c r="A767">
        <v>765</v>
      </c>
      <c r="B767" t="s">
        <v>443</v>
      </c>
      <c r="C767" t="s">
        <v>7</v>
      </c>
      <c r="D767" t="s">
        <v>467</v>
      </c>
      <c r="E767" t="s">
        <v>468</v>
      </c>
      <c r="F767" t="s">
        <v>10</v>
      </c>
      <c r="G767" s="3">
        <f t="shared" ca="1" si="11"/>
        <v>7036</v>
      </c>
    </row>
    <row r="768" spans="1:7" x14ac:dyDescent="0.3">
      <c r="A768">
        <v>766</v>
      </c>
      <c r="B768" t="s">
        <v>443</v>
      </c>
      <c r="C768" t="s">
        <v>24</v>
      </c>
      <c r="D768" t="s">
        <v>469</v>
      </c>
      <c r="E768" t="s">
        <v>470</v>
      </c>
      <c r="F768" t="s">
        <v>10</v>
      </c>
      <c r="G768" s="3">
        <f t="shared" ca="1" si="11"/>
        <v>7063</v>
      </c>
    </row>
    <row r="769" spans="1:7" x14ac:dyDescent="0.3">
      <c r="A769">
        <v>767</v>
      </c>
      <c r="B769" t="s">
        <v>443</v>
      </c>
      <c r="C769" t="s">
        <v>13</v>
      </c>
      <c r="D769" t="s">
        <v>448</v>
      </c>
      <c r="E769" t="s">
        <v>26</v>
      </c>
      <c r="F769" t="s">
        <v>10</v>
      </c>
      <c r="G769" s="3">
        <f t="shared" ca="1" si="11"/>
        <v>11899</v>
      </c>
    </row>
    <row r="770" spans="1:7" x14ac:dyDescent="0.3">
      <c r="A770">
        <v>768</v>
      </c>
      <c r="B770" t="s">
        <v>443</v>
      </c>
      <c r="C770" t="s">
        <v>13</v>
      </c>
      <c r="D770" t="s">
        <v>241</v>
      </c>
      <c r="E770" t="s">
        <v>26</v>
      </c>
      <c r="F770" t="s">
        <v>10</v>
      </c>
      <c r="G770" s="3">
        <f t="shared" ref="G770:G833" ca="1" si="12">RANDBETWEEN(6500,12000)</f>
        <v>8491</v>
      </c>
    </row>
    <row r="771" spans="1:7" x14ac:dyDescent="0.3">
      <c r="A771">
        <v>769</v>
      </c>
      <c r="B771" t="s">
        <v>443</v>
      </c>
      <c r="C771" t="s">
        <v>24</v>
      </c>
      <c r="D771" t="s">
        <v>471</v>
      </c>
      <c r="E771" t="s">
        <v>472</v>
      </c>
      <c r="F771" t="s">
        <v>10</v>
      </c>
      <c r="G771" s="3">
        <f t="shared" ca="1" si="12"/>
        <v>8500</v>
      </c>
    </row>
    <row r="772" spans="1:7" x14ac:dyDescent="0.3">
      <c r="A772">
        <v>770</v>
      </c>
      <c r="B772" t="s">
        <v>443</v>
      </c>
      <c r="C772" t="s">
        <v>7</v>
      </c>
      <c r="D772" t="s">
        <v>115</v>
      </c>
      <c r="E772" t="s">
        <v>473</v>
      </c>
      <c r="F772" t="s">
        <v>19</v>
      </c>
      <c r="G772" s="3">
        <f t="shared" ca="1" si="12"/>
        <v>7049</v>
      </c>
    </row>
    <row r="773" spans="1:7" x14ac:dyDescent="0.3">
      <c r="A773">
        <v>771</v>
      </c>
      <c r="B773" t="s">
        <v>443</v>
      </c>
      <c r="C773" t="s">
        <v>24</v>
      </c>
      <c r="D773" t="s">
        <v>474</v>
      </c>
      <c r="E773" t="s">
        <v>475</v>
      </c>
      <c r="F773" t="s">
        <v>10</v>
      </c>
      <c r="G773" s="3">
        <f t="shared" ca="1" si="12"/>
        <v>8480</v>
      </c>
    </row>
    <row r="774" spans="1:7" x14ac:dyDescent="0.3">
      <c r="A774">
        <v>772</v>
      </c>
      <c r="B774" t="s">
        <v>443</v>
      </c>
      <c r="C774" t="s">
        <v>24</v>
      </c>
      <c r="D774" t="s">
        <v>16</v>
      </c>
      <c r="E774" t="s">
        <v>476</v>
      </c>
      <c r="F774" t="s">
        <v>10</v>
      </c>
      <c r="G774" s="3">
        <f t="shared" ca="1" si="12"/>
        <v>7291</v>
      </c>
    </row>
    <row r="775" spans="1:7" x14ac:dyDescent="0.3">
      <c r="A775">
        <v>773</v>
      </c>
      <c r="B775" t="s">
        <v>443</v>
      </c>
      <c r="C775" t="s">
        <v>7</v>
      </c>
      <c r="D775" t="s">
        <v>22</v>
      </c>
      <c r="E775" t="s">
        <v>19</v>
      </c>
      <c r="F775" t="s">
        <v>19</v>
      </c>
      <c r="G775" s="3">
        <f t="shared" ca="1" si="12"/>
        <v>6545</v>
      </c>
    </row>
    <row r="776" spans="1:7" x14ac:dyDescent="0.3">
      <c r="A776">
        <v>774</v>
      </c>
      <c r="B776" t="s">
        <v>443</v>
      </c>
      <c r="C776" t="s">
        <v>7</v>
      </c>
      <c r="D776" t="s">
        <v>257</v>
      </c>
      <c r="E776" t="s">
        <v>153</v>
      </c>
      <c r="F776" t="s">
        <v>10</v>
      </c>
      <c r="G776" s="3">
        <f t="shared" ca="1" si="12"/>
        <v>11304</v>
      </c>
    </row>
    <row r="777" spans="1:7" x14ac:dyDescent="0.3">
      <c r="A777">
        <v>775</v>
      </c>
      <c r="B777" t="s">
        <v>443</v>
      </c>
      <c r="C777" t="s">
        <v>7</v>
      </c>
      <c r="D777" t="s">
        <v>203</v>
      </c>
      <c r="E777" t="s">
        <v>26</v>
      </c>
      <c r="F777" t="s">
        <v>10</v>
      </c>
      <c r="G777" s="3">
        <f t="shared" ca="1" si="12"/>
        <v>11451</v>
      </c>
    </row>
    <row r="778" spans="1:7" x14ac:dyDescent="0.3">
      <c r="A778">
        <v>776</v>
      </c>
      <c r="B778" t="s">
        <v>443</v>
      </c>
      <c r="C778" t="s">
        <v>13</v>
      </c>
      <c r="D778" t="s">
        <v>477</v>
      </c>
      <c r="E778" t="s">
        <v>478</v>
      </c>
      <c r="F778" t="s">
        <v>10</v>
      </c>
      <c r="G778" s="3">
        <f t="shared" ca="1" si="12"/>
        <v>10469</v>
      </c>
    </row>
    <row r="779" spans="1:7" x14ac:dyDescent="0.3">
      <c r="A779">
        <v>777</v>
      </c>
      <c r="B779" t="s">
        <v>443</v>
      </c>
      <c r="C779" t="s">
        <v>24</v>
      </c>
      <c r="D779" t="s">
        <v>479</v>
      </c>
      <c r="E779" t="s">
        <v>472</v>
      </c>
      <c r="F779" t="s">
        <v>10</v>
      </c>
      <c r="G779" s="3">
        <f t="shared" ca="1" si="12"/>
        <v>7377</v>
      </c>
    </row>
    <row r="780" spans="1:7" x14ac:dyDescent="0.3">
      <c r="A780">
        <v>778</v>
      </c>
      <c r="B780" t="s">
        <v>443</v>
      </c>
      <c r="C780" t="s">
        <v>13</v>
      </c>
      <c r="D780" t="s">
        <v>140</v>
      </c>
      <c r="E780" t="s">
        <v>164</v>
      </c>
      <c r="F780" t="s">
        <v>10</v>
      </c>
      <c r="G780" s="3">
        <f t="shared" ca="1" si="12"/>
        <v>7434</v>
      </c>
    </row>
    <row r="781" spans="1:7" x14ac:dyDescent="0.3">
      <c r="A781">
        <v>779</v>
      </c>
      <c r="B781" t="s">
        <v>443</v>
      </c>
      <c r="C781" t="s">
        <v>24</v>
      </c>
      <c r="D781" t="s">
        <v>114</v>
      </c>
      <c r="E781" t="s">
        <v>289</v>
      </c>
      <c r="F781" t="s">
        <v>10</v>
      </c>
      <c r="G781" s="3">
        <f t="shared" ca="1" si="12"/>
        <v>6821</v>
      </c>
    </row>
    <row r="782" spans="1:7" x14ac:dyDescent="0.3">
      <c r="A782">
        <v>780</v>
      </c>
      <c r="B782" t="s">
        <v>443</v>
      </c>
      <c r="C782" t="s">
        <v>7</v>
      </c>
      <c r="D782" t="s">
        <v>480</v>
      </c>
      <c r="E782" t="s">
        <v>481</v>
      </c>
      <c r="F782" t="s">
        <v>10</v>
      </c>
      <c r="G782" s="3">
        <f t="shared" ca="1" si="12"/>
        <v>11333</v>
      </c>
    </row>
    <row r="783" spans="1:7" x14ac:dyDescent="0.3">
      <c r="A783">
        <v>781</v>
      </c>
      <c r="B783" t="s">
        <v>443</v>
      </c>
      <c r="C783" t="s">
        <v>19</v>
      </c>
      <c r="D783" t="s">
        <v>63</v>
      </c>
      <c r="E783" t="s">
        <v>26</v>
      </c>
      <c r="F783" t="s">
        <v>10</v>
      </c>
      <c r="G783" s="3">
        <f t="shared" ca="1" si="12"/>
        <v>10906</v>
      </c>
    </row>
    <row r="784" spans="1:7" x14ac:dyDescent="0.3">
      <c r="A784">
        <v>782</v>
      </c>
      <c r="B784" t="s">
        <v>443</v>
      </c>
      <c r="C784" t="s">
        <v>19</v>
      </c>
      <c r="D784" t="s">
        <v>19</v>
      </c>
      <c r="E784" t="s">
        <v>19</v>
      </c>
      <c r="F784" t="s">
        <v>19</v>
      </c>
      <c r="G784" s="3">
        <f t="shared" ca="1" si="12"/>
        <v>11365</v>
      </c>
    </row>
    <row r="785" spans="1:7" x14ac:dyDescent="0.3">
      <c r="A785">
        <v>783</v>
      </c>
      <c r="B785" t="s">
        <v>443</v>
      </c>
      <c r="C785" t="s">
        <v>24</v>
      </c>
      <c r="D785" t="s">
        <v>43</v>
      </c>
      <c r="E785" t="s">
        <v>441</v>
      </c>
      <c r="F785" t="s">
        <v>10</v>
      </c>
      <c r="G785" s="3">
        <f t="shared" ca="1" si="12"/>
        <v>9377</v>
      </c>
    </row>
    <row r="786" spans="1:7" x14ac:dyDescent="0.3">
      <c r="A786">
        <v>784</v>
      </c>
      <c r="B786" t="s">
        <v>443</v>
      </c>
      <c r="C786" t="s">
        <v>7</v>
      </c>
      <c r="D786" t="s">
        <v>387</v>
      </c>
      <c r="E786" t="s">
        <v>153</v>
      </c>
      <c r="F786" t="s">
        <v>10</v>
      </c>
      <c r="G786" s="3">
        <f t="shared" ca="1" si="12"/>
        <v>10773</v>
      </c>
    </row>
    <row r="787" spans="1:7" x14ac:dyDescent="0.3">
      <c r="A787">
        <v>785</v>
      </c>
      <c r="B787" t="s">
        <v>443</v>
      </c>
      <c r="C787" t="s">
        <v>455</v>
      </c>
      <c r="D787" t="s">
        <v>456</v>
      </c>
      <c r="E787" t="s">
        <v>482</v>
      </c>
      <c r="F787" t="s">
        <v>423</v>
      </c>
      <c r="G787" s="3">
        <f t="shared" ca="1" si="12"/>
        <v>6646</v>
      </c>
    </row>
    <row r="788" spans="1:7" x14ac:dyDescent="0.3">
      <c r="A788">
        <v>786</v>
      </c>
      <c r="B788" t="s">
        <v>443</v>
      </c>
      <c r="C788" t="s">
        <v>13</v>
      </c>
      <c r="D788" t="s">
        <v>16</v>
      </c>
      <c r="E788" t="s">
        <v>483</v>
      </c>
      <c r="F788" t="s">
        <v>10</v>
      </c>
      <c r="G788" s="3">
        <f t="shared" ca="1" si="12"/>
        <v>11903</v>
      </c>
    </row>
    <row r="789" spans="1:7" x14ac:dyDescent="0.3">
      <c r="A789">
        <v>787</v>
      </c>
      <c r="B789" t="s">
        <v>443</v>
      </c>
      <c r="C789" t="s">
        <v>24</v>
      </c>
      <c r="D789" t="s">
        <v>484</v>
      </c>
      <c r="E789" t="s">
        <v>485</v>
      </c>
      <c r="F789" t="s">
        <v>10</v>
      </c>
      <c r="G789" s="3">
        <f t="shared" ca="1" si="12"/>
        <v>10403</v>
      </c>
    </row>
    <row r="790" spans="1:7" x14ac:dyDescent="0.3">
      <c r="A790">
        <v>788</v>
      </c>
      <c r="B790" t="s">
        <v>443</v>
      </c>
      <c r="C790" t="s">
        <v>7</v>
      </c>
      <c r="D790" t="s">
        <v>227</v>
      </c>
      <c r="E790" t="s">
        <v>284</v>
      </c>
      <c r="F790" t="s">
        <v>10</v>
      </c>
      <c r="G790" s="3">
        <f t="shared" ca="1" si="12"/>
        <v>10000</v>
      </c>
    </row>
    <row r="791" spans="1:7" x14ac:dyDescent="0.3">
      <c r="A791">
        <v>789</v>
      </c>
      <c r="B791" t="s">
        <v>443</v>
      </c>
      <c r="C791" t="s">
        <v>7</v>
      </c>
      <c r="D791" t="s">
        <v>16</v>
      </c>
      <c r="E791" t="s">
        <v>153</v>
      </c>
      <c r="F791" t="s">
        <v>10</v>
      </c>
      <c r="G791" s="3">
        <f t="shared" ca="1" si="12"/>
        <v>10439</v>
      </c>
    </row>
    <row r="792" spans="1:7" x14ac:dyDescent="0.3">
      <c r="A792">
        <v>790</v>
      </c>
      <c r="B792" t="s">
        <v>443</v>
      </c>
      <c r="C792" t="s">
        <v>13</v>
      </c>
      <c r="D792" t="s">
        <v>486</v>
      </c>
      <c r="E792" t="s">
        <v>487</v>
      </c>
      <c r="F792" t="s">
        <v>10</v>
      </c>
      <c r="G792" s="3">
        <f t="shared" ca="1" si="12"/>
        <v>11093</v>
      </c>
    </row>
    <row r="793" spans="1:7" x14ac:dyDescent="0.3">
      <c r="A793">
        <v>791</v>
      </c>
      <c r="B793" t="s">
        <v>443</v>
      </c>
      <c r="C793" t="s">
        <v>13</v>
      </c>
      <c r="D793" t="s">
        <v>133</v>
      </c>
      <c r="E793" t="s">
        <v>153</v>
      </c>
      <c r="F793" t="s">
        <v>10</v>
      </c>
      <c r="G793" s="3">
        <f t="shared" ca="1" si="12"/>
        <v>7504</v>
      </c>
    </row>
    <row r="794" spans="1:7" x14ac:dyDescent="0.3">
      <c r="A794">
        <v>792</v>
      </c>
      <c r="B794" t="s">
        <v>443</v>
      </c>
      <c r="C794" t="s">
        <v>13</v>
      </c>
      <c r="D794" t="s">
        <v>450</v>
      </c>
      <c r="E794" t="s">
        <v>153</v>
      </c>
      <c r="F794" t="s">
        <v>10</v>
      </c>
      <c r="G794" s="3">
        <f t="shared" ca="1" si="12"/>
        <v>9850</v>
      </c>
    </row>
    <row r="795" spans="1:7" x14ac:dyDescent="0.3">
      <c r="A795">
        <v>793</v>
      </c>
      <c r="B795" t="s">
        <v>443</v>
      </c>
      <c r="C795" t="s">
        <v>13</v>
      </c>
      <c r="D795" t="s">
        <v>488</v>
      </c>
      <c r="E795" t="s">
        <v>489</v>
      </c>
      <c r="F795" t="s">
        <v>10</v>
      </c>
      <c r="G795" s="3">
        <f t="shared" ca="1" si="12"/>
        <v>11581</v>
      </c>
    </row>
    <row r="796" spans="1:7" x14ac:dyDescent="0.3">
      <c r="A796">
        <v>794</v>
      </c>
      <c r="B796" t="s">
        <v>443</v>
      </c>
      <c r="C796" t="s">
        <v>7</v>
      </c>
      <c r="D796" t="s">
        <v>269</v>
      </c>
      <c r="E796" t="s">
        <v>270</v>
      </c>
      <c r="F796" t="s">
        <v>10</v>
      </c>
      <c r="G796" s="3">
        <f t="shared" ca="1" si="12"/>
        <v>8042</v>
      </c>
    </row>
    <row r="797" spans="1:7" x14ac:dyDescent="0.3">
      <c r="A797">
        <v>795</v>
      </c>
      <c r="B797" t="s">
        <v>443</v>
      </c>
      <c r="C797" t="s">
        <v>24</v>
      </c>
      <c r="D797" t="s">
        <v>16</v>
      </c>
      <c r="E797" t="s">
        <v>472</v>
      </c>
      <c r="F797" t="s">
        <v>10</v>
      </c>
      <c r="G797" s="3">
        <f t="shared" ca="1" si="12"/>
        <v>7914</v>
      </c>
    </row>
    <row r="798" spans="1:7" x14ac:dyDescent="0.3">
      <c r="A798">
        <v>796</v>
      </c>
      <c r="B798" t="s">
        <v>443</v>
      </c>
      <c r="C798" t="s">
        <v>13</v>
      </c>
      <c r="D798" t="s">
        <v>490</v>
      </c>
      <c r="E798" t="s">
        <v>491</v>
      </c>
      <c r="F798" t="s">
        <v>10</v>
      </c>
      <c r="G798" s="3">
        <f t="shared" ca="1" si="12"/>
        <v>8748</v>
      </c>
    </row>
    <row r="799" spans="1:7" x14ac:dyDescent="0.3">
      <c r="A799">
        <v>797</v>
      </c>
      <c r="B799" t="s">
        <v>443</v>
      </c>
      <c r="C799" t="s">
        <v>7</v>
      </c>
      <c r="D799" t="s">
        <v>227</v>
      </c>
      <c r="E799" t="s">
        <v>284</v>
      </c>
      <c r="F799" t="s">
        <v>10</v>
      </c>
      <c r="G799" s="3">
        <f t="shared" ca="1" si="12"/>
        <v>11323</v>
      </c>
    </row>
    <row r="800" spans="1:7" x14ac:dyDescent="0.3">
      <c r="A800">
        <v>798</v>
      </c>
      <c r="B800" t="s">
        <v>443</v>
      </c>
      <c r="C800" t="s">
        <v>7</v>
      </c>
      <c r="D800" t="s">
        <v>16</v>
      </c>
      <c r="E800" t="s">
        <v>153</v>
      </c>
      <c r="F800" t="s">
        <v>10</v>
      </c>
      <c r="G800" s="3">
        <f t="shared" ca="1" si="12"/>
        <v>8894</v>
      </c>
    </row>
    <row r="801" spans="1:7" x14ac:dyDescent="0.3">
      <c r="A801">
        <v>799</v>
      </c>
      <c r="B801" t="s">
        <v>443</v>
      </c>
      <c r="C801" t="s">
        <v>13</v>
      </c>
      <c r="D801" t="s">
        <v>486</v>
      </c>
      <c r="E801" t="s">
        <v>487</v>
      </c>
      <c r="F801" t="s">
        <v>10</v>
      </c>
      <c r="G801" s="3">
        <f t="shared" ca="1" si="12"/>
        <v>7911</v>
      </c>
    </row>
    <row r="802" spans="1:7" x14ac:dyDescent="0.3">
      <c r="A802">
        <v>800</v>
      </c>
      <c r="B802" t="s">
        <v>443</v>
      </c>
      <c r="C802" t="s">
        <v>13</v>
      </c>
      <c r="D802" t="s">
        <v>133</v>
      </c>
      <c r="E802" t="s">
        <v>153</v>
      </c>
      <c r="F802" t="s">
        <v>10</v>
      </c>
      <c r="G802" s="3">
        <f t="shared" ca="1" si="12"/>
        <v>8882</v>
      </c>
    </row>
    <row r="803" spans="1:7" x14ac:dyDescent="0.3">
      <c r="A803">
        <v>801</v>
      </c>
      <c r="B803" t="s">
        <v>443</v>
      </c>
      <c r="C803" t="s">
        <v>13</v>
      </c>
      <c r="D803" t="s">
        <v>450</v>
      </c>
      <c r="E803" t="s">
        <v>153</v>
      </c>
      <c r="F803" t="s">
        <v>10</v>
      </c>
      <c r="G803" s="3">
        <f t="shared" ca="1" si="12"/>
        <v>11801</v>
      </c>
    </row>
    <row r="804" spans="1:7" x14ac:dyDescent="0.3">
      <c r="A804">
        <v>802</v>
      </c>
      <c r="B804" t="s">
        <v>443</v>
      </c>
      <c r="C804" t="s">
        <v>13</v>
      </c>
      <c r="D804" t="s">
        <v>488</v>
      </c>
      <c r="E804" t="s">
        <v>489</v>
      </c>
      <c r="F804" t="s">
        <v>10</v>
      </c>
      <c r="G804" s="3">
        <f t="shared" ca="1" si="12"/>
        <v>7890</v>
      </c>
    </row>
    <row r="805" spans="1:7" x14ac:dyDescent="0.3">
      <c r="A805">
        <v>803</v>
      </c>
      <c r="B805" t="s">
        <v>443</v>
      </c>
      <c r="C805" t="s">
        <v>7</v>
      </c>
      <c r="D805" t="s">
        <v>269</v>
      </c>
      <c r="E805" t="s">
        <v>270</v>
      </c>
      <c r="F805" t="s">
        <v>10</v>
      </c>
      <c r="G805" s="3">
        <f t="shared" ca="1" si="12"/>
        <v>9172</v>
      </c>
    </row>
    <row r="806" spans="1:7" x14ac:dyDescent="0.3">
      <c r="A806">
        <v>804</v>
      </c>
      <c r="B806" t="s">
        <v>443</v>
      </c>
      <c r="C806" t="s">
        <v>24</v>
      </c>
      <c r="D806" t="s">
        <v>16</v>
      </c>
      <c r="E806" t="s">
        <v>472</v>
      </c>
      <c r="F806" t="s">
        <v>10</v>
      </c>
      <c r="G806" s="3">
        <f t="shared" ca="1" si="12"/>
        <v>8109</v>
      </c>
    </row>
    <row r="807" spans="1:7" x14ac:dyDescent="0.3">
      <c r="A807">
        <v>805</v>
      </c>
      <c r="B807" t="s">
        <v>443</v>
      </c>
      <c r="C807" t="s">
        <v>13</v>
      </c>
      <c r="D807" t="s">
        <v>490</v>
      </c>
      <c r="E807" t="s">
        <v>491</v>
      </c>
      <c r="F807" t="s">
        <v>10</v>
      </c>
      <c r="G807" s="3">
        <f t="shared" ca="1" si="12"/>
        <v>7015</v>
      </c>
    </row>
    <row r="808" spans="1:7" x14ac:dyDescent="0.3">
      <c r="A808">
        <v>806</v>
      </c>
      <c r="B808" t="s">
        <v>443</v>
      </c>
      <c r="C808" t="s">
        <v>13</v>
      </c>
      <c r="D808" t="s">
        <v>492</v>
      </c>
      <c r="E808" t="s">
        <v>493</v>
      </c>
      <c r="F808" t="s">
        <v>10</v>
      </c>
      <c r="G808" s="3">
        <f t="shared" ca="1" si="12"/>
        <v>8194</v>
      </c>
    </row>
    <row r="809" spans="1:7" x14ac:dyDescent="0.3">
      <c r="A809">
        <v>807</v>
      </c>
      <c r="B809" t="s">
        <v>443</v>
      </c>
      <c r="C809" t="s">
        <v>13</v>
      </c>
      <c r="D809" t="s">
        <v>119</v>
      </c>
      <c r="E809" t="s">
        <v>218</v>
      </c>
      <c r="F809" t="s">
        <v>10</v>
      </c>
      <c r="G809" s="3">
        <f t="shared" ca="1" si="12"/>
        <v>7258</v>
      </c>
    </row>
    <row r="810" spans="1:7" x14ac:dyDescent="0.3">
      <c r="A810">
        <v>808</v>
      </c>
      <c r="B810" t="s">
        <v>443</v>
      </c>
      <c r="C810" t="s">
        <v>13</v>
      </c>
      <c r="D810" t="s">
        <v>115</v>
      </c>
      <c r="E810" t="s">
        <v>494</v>
      </c>
      <c r="F810" t="s">
        <v>19</v>
      </c>
      <c r="G810" s="3">
        <f t="shared" ca="1" si="12"/>
        <v>8052</v>
      </c>
    </row>
    <row r="811" spans="1:7" x14ac:dyDescent="0.3">
      <c r="A811">
        <v>809</v>
      </c>
      <c r="B811" t="s">
        <v>443</v>
      </c>
      <c r="C811" t="s">
        <v>13</v>
      </c>
      <c r="D811" t="s">
        <v>247</v>
      </c>
      <c r="E811" t="s">
        <v>248</v>
      </c>
      <c r="F811" t="s">
        <v>10</v>
      </c>
      <c r="G811" s="3">
        <f t="shared" ca="1" si="12"/>
        <v>7738</v>
      </c>
    </row>
    <row r="812" spans="1:7" x14ac:dyDescent="0.3">
      <c r="A812">
        <v>810</v>
      </c>
      <c r="B812" t="s">
        <v>443</v>
      </c>
      <c r="C812" t="s">
        <v>7</v>
      </c>
      <c r="D812" t="s">
        <v>495</v>
      </c>
      <c r="E812" t="s">
        <v>48</v>
      </c>
      <c r="F812" t="s">
        <v>10</v>
      </c>
      <c r="G812" s="3">
        <f t="shared" ca="1" si="12"/>
        <v>11118</v>
      </c>
    </row>
    <row r="813" spans="1:7" x14ac:dyDescent="0.3">
      <c r="A813">
        <v>811</v>
      </c>
      <c r="B813" t="s">
        <v>443</v>
      </c>
      <c r="C813" t="s">
        <v>13</v>
      </c>
      <c r="D813" t="s">
        <v>115</v>
      </c>
      <c r="E813" t="s">
        <v>289</v>
      </c>
      <c r="F813" t="s">
        <v>10</v>
      </c>
      <c r="G813" s="3">
        <f t="shared" ca="1" si="12"/>
        <v>11675</v>
      </c>
    </row>
    <row r="814" spans="1:7" x14ac:dyDescent="0.3">
      <c r="A814">
        <v>812</v>
      </c>
      <c r="B814" t="s">
        <v>443</v>
      </c>
      <c r="C814" t="s">
        <v>7</v>
      </c>
      <c r="D814" t="s">
        <v>467</v>
      </c>
      <c r="E814" t="s">
        <v>468</v>
      </c>
      <c r="F814" t="s">
        <v>10</v>
      </c>
      <c r="G814" s="3">
        <f t="shared" ca="1" si="12"/>
        <v>8983</v>
      </c>
    </row>
    <row r="815" spans="1:7" x14ac:dyDescent="0.3">
      <c r="A815">
        <v>813</v>
      </c>
      <c r="B815" t="s">
        <v>443</v>
      </c>
      <c r="C815" t="s">
        <v>13</v>
      </c>
      <c r="D815" t="s">
        <v>444</v>
      </c>
      <c r="E815" t="s">
        <v>445</v>
      </c>
      <c r="F815" t="s">
        <v>10</v>
      </c>
      <c r="G815" s="3">
        <f t="shared" ca="1" si="12"/>
        <v>8312</v>
      </c>
    </row>
    <row r="816" spans="1:7" x14ac:dyDescent="0.3">
      <c r="A816">
        <v>814</v>
      </c>
      <c r="B816" t="s">
        <v>443</v>
      </c>
      <c r="C816" t="s">
        <v>13</v>
      </c>
      <c r="D816" t="s">
        <v>263</v>
      </c>
      <c r="E816" t="s">
        <v>264</v>
      </c>
      <c r="F816" t="s">
        <v>10</v>
      </c>
      <c r="G816" s="3">
        <f t="shared" ca="1" si="12"/>
        <v>8984</v>
      </c>
    </row>
    <row r="817" spans="1:7" x14ac:dyDescent="0.3">
      <c r="A817">
        <v>815</v>
      </c>
      <c r="B817" t="s">
        <v>443</v>
      </c>
      <c r="C817" t="s">
        <v>13</v>
      </c>
      <c r="D817" t="s">
        <v>492</v>
      </c>
      <c r="E817" t="s">
        <v>493</v>
      </c>
      <c r="F817" t="s">
        <v>10</v>
      </c>
      <c r="G817" s="3">
        <f t="shared" ca="1" si="12"/>
        <v>7373</v>
      </c>
    </row>
    <row r="818" spans="1:7" x14ac:dyDescent="0.3">
      <c r="A818">
        <v>816</v>
      </c>
      <c r="B818" t="s">
        <v>443</v>
      </c>
      <c r="C818" t="s">
        <v>13</v>
      </c>
      <c r="D818" t="s">
        <v>119</v>
      </c>
      <c r="E818" t="s">
        <v>218</v>
      </c>
      <c r="F818" t="s">
        <v>10</v>
      </c>
      <c r="G818" s="3">
        <f t="shared" ca="1" si="12"/>
        <v>8546</v>
      </c>
    </row>
    <row r="819" spans="1:7" x14ac:dyDescent="0.3">
      <c r="A819">
        <v>817</v>
      </c>
      <c r="B819" t="s">
        <v>443</v>
      </c>
      <c r="C819" t="s">
        <v>13</v>
      </c>
      <c r="D819" t="s">
        <v>115</v>
      </c>
      <c r="E819" t="s">
        <v>494</v>
      </c>
      <c r="F819" t="s">
        <v>19</v>
      </c>
      <c r="G819" s="3">
        <f t="shared" ca="1" si="12"/>
        <v>10190</v>
      </c>
    </row>
    <row r="820" spans="1:7" x14ac:dyDescent="0.3">
      <c r="A820">
        <v>818</v>
      </c>
      <c r="B820" t="s">
        <v>443</v>
      </c>
      <c r="C820" t="s">
        <v>13</v>
      </c>
      <c r="D820" t="s">
        <v>247</v>
      </c>
      <c r="E820" t="s">
        <v>248</v>
      </c>
      <c r="F820" t="s">
        <v>10</v>
      </c>
      <c r="G820" s="3">
        <f t="shared" ca="1" si="12"/>
        <v>10317</v>
      </c>
    </row>
    <row r="821" spans="1:7" x14ac:dyDescent="0.3">
      <c r="A821">
        <v>819</v>
      </c>
      <c r="B821" t="s">
        <v>443</v>
      </c>
      <c r="C821" t="s">
        <v>7</v>
      </c>
      <c r="D821" t="s">
        <v>495</v>
      </c>
      <c r="E821" t="s">
        <v>48</v>
      </c>
      <c r="F821" t="s">
        <v>10</v>
      </c>
      <c r="G821" s="3">
        <f t="shared" ca="1" si="12"/>
        <v>8865</v>
      </c>
    </row>
    <row r="822" spans="1:7" x14ac:dyDescent="0.3">
      <c r="A822">
        <v>820</v>
      </c>
      <c r="B822" t="s">
        <v>443</v>
      </c>
      <c r="C822" t="s">
        <v>13</v>
      </c>
      <c r="D822" t="s">
        <v>115</v>
      </c>
      <c r="E822" t="s">
        <v>289</v>
      </c>
      <c r="F822" t="s">
        <v>10</v>
      </c>
      <c r="G822" s="3">
        <f t="shared" ca="1" si="12"/>
        <v>8149</v>
      </c>
    </row>
    <row r="823" spans="1:7" x14ac:dyDescent="0.3">
      <c r="A823">
        <v>821</v>
      </c>
      <c r="B823" t="s">
        <v>443</v>
      </c>
      <c r="C823" t="s">
        <v>7</v>
      </c>
      <c r="D823" t="s">
        <v>467</v>
      </c>
      <c r="E823" t="s">
        <v>468</v>
      </c>
      <c r="F823" t="s">
        <v>10</v>
      </c>
      <c r="G823" s="3">
        <f t="shared" ca="1" si="12"/>
        <v>9350</v>
      </c>
    </row>
    <row r="824" spans="1:7" x14ac:dyDescent="0.3">
      <c r="A824">
        <v>822</v>
      </c>
      <c r="B824" t="s">
        <v>443</v>
      </c>
      <c r="C824" t="s">
        <v>13</v>
      </c>
      <c r="D824" t="s">
        <v>444</v>
      </c>
      <c r="E824" t="s">
        <v>445</v>
      </c>
      <c r="F824" t="s">
        <v>10</v>
      </c>
      <c r="G824" s="3">
        <f t="shared" ca="1" si="12"/>
        <v>10868</v>
      </c>
    </row>
    <row r="825" spans="1:7" x14ac:dyDescent="0.3">
      <c r="A825">
        <v>823</v>
      </c>
      <c r="B825" t="s">
        <v>443</v>
      </c>
      <c r="C825" t="s">
        <v>13</v>
      </c>
      <c r="D825" t="s">
        <v>263</v>
      </c>
      <c r="E825" t="s">
        <v>264</v>
      </c>
      <c r="F825" t="s">
        <v>10</v>
      </c>
      <c r="G825" s="3">
        <f t="shared" ca="1" si="12"/>
        <v>7736</v>
      </c>
    </row>
    <row r="826" spans="1:7" x14ac:dyDescent="0.3">
      <c r="A826">
        <v>824</v>
      </c>
      <c r="B826" t="s">
        <v>443</v>
      </c>
      <c r="C826" t="s">
        <v>24</v>
      </c>
      <c r="D826" t="s">
        <v>196</v>
      </c>
      <c r="E826" t="s">
        <v>153</v>
      </c>
      <c r="F826" t="s">
        <v>10</v>
      </c>
      <c r="G826" s="3">
        <f t="shared" ca="1" si="12"/>
        <v>10615</v>
      </c>
    </row>
    <row r="827" spans="1:7" x14ac:dyDescent="0.3">
      <c r="A827">
        <v>825</v>
      </c>
      <c r="B827" t="s">
        <v>443</v>
      </c>
      <c r="C827" t="s">
        <v>7</v>
      </c>
      <c r="D827" t="s">
        <v>496</v>
      </c>
      <c r="E827" t="s">
        <v>19</v>
      </c>
      <c r="F827" t="s">
        <v>10</v>
      </c>
      <c r="G827" s="3">
        <f t="shared" ca="1" si="12"/>
        <v>10947</v>
      </c>
    </row>
    <row r="828" spans="1:7" x14ac:dyDescent="0.3">
      <c r="A828">
        <v>826</v>
      </c>
      <c r="B828" t="s">
        <v>443</v>
      </c>
      <c r="C828" t="s">
        <v>7</v>
      </c>
      <c r="D828" t="s">
        <v>212</v>
      </c>
      <c r="E828" t="s">
        <v>213</v>
      </c>
      <c r="F828" t="s">
        <v>10</v>
      </c>
      <c r="G828" s="3">
        <f t="shared" ca="1" si="12"/>
        <v>9391</v>
      </c>
    </row>
    <row r="829" spans="1:7" x14ac:dyDescent="0.3">
      <c r="A829">
        <v>827</v>
      </c>
      <c r="B829" t="s">
        <v>443</v>
      </c>
      <c r="C829" t="s">
        <v>24</v>
      </c>
      <c r="D829" t="s">
        <v>453</v>
      </c>
      <c r="E829" t="s">
        <v>153</v>
      </c>
      <c r="F829" t="s">
        <v>19</v>
      </c>
      <c r="G829" s="3">
        <f t="shared" ca="1" si="12"/>
        <v>7755</v>
      </c>
    </row>
    <row r="830" spans="1:7" x14ac:dyDescent="0.3">
      <c r="A830">
        <v>828</v>
      </c>
      <c r="B830" t="s">
        <v>443</v>
      </c>
      <c r="C830" t="s">
        <v>7</v>
      </c>
      <c r="D830" t="s">
        <v>22</v>
      </c>
      <c r="E830" t="s">
        <v>451</v>
      </c>
      <c r="F830" t="s">
        <v>10</v>
      </c>
      <c r="G830" s="3">
        <f t="shared" ca="1" si="12"/>
        <v>10232</v>
      </c>
    </row>
    <row r="831" spans="1:7" x14ac:dyDescent="0.3">
      <c r="A831">
        <v>829</v>
      </c>
      <c r="B831" t="s">
        <v>443</v>
      </c>
      <c r="C831" t="s">
        <v>7</v>
      </c>
      <c r="D831" t="s">
        <v>19</v>
      </c>
      <c r="E831" t="s">
        <v>497</v>
      </c>
      <c r="F831" t="s">
        <v>31</v>
      </c>
      <c r="G831" s="3">
        <f t="shared" ca="1" si="12"/>
        <v>6510</v>
      </c>
    </row>
    <row r="832" spans="1:7" x14ac:dyDescent="0.3">
      <c r="A832">
        <v>830</v>
      </c>
      <c r="B832" t="s">
        <v>443</v>
      </c>
      <c r="C832" t="s">
        <v>13</v>
      </c>
      <c r="D832" t="s">
        <v>80</v>
      </c>
      <c r="E832" t="s">
        <v>498</v>
      </c>
      <c r="F832" t="s">
        <v>10</v>
      </c>
      <c r="G832" s="3">
        <f t="shared" ca="1" si="12"/>
        <v>10618</v>
      </c>
    </row>
    <row r="833" spans="1:7" x14ac:dyDescent="0.3">
      <c r="A833">
        <v>831</v>
      </c>
      <c r="B833" t="s">
        <v>443</v>
      </c>
      <c r="C833" t="s">
        <v>13</v>
      </c>
      <c r="D833" t="s">
        <v>459</v>
      </c>
      <c r="E833" t="s">
        <v>468</v>
      </c>
      <c r="F833" t="s">
        <v>10</v>
      </c>
      <c r="G833" s="3">
        <f t="shared" ca="1" si="12"/>
        <v>11091</v>
      </c>
    </row>
    <row r="834" spans="1:7" x14ac:dyDescent="0.3">
      <c r="A834">
        <v>832</v>
      </c>
      <c r="B834" t="s">
        <v>443</v>
      </c>
      <c r="C834" t="s">
        <v>13</v>
      </c>
      <c r="D834" t="s">
        <v>499</v>
      </c>
      <c r="E834" t="s">
        <v>153</v>
      </c>
      <c r="F834" t="s">
        <v>10</v>
      </c>
      <c r="G834" s="3">
        <f t="shared" ref="G834:G897" ca="1" si="13">RANDBETWEEN(6500,12000)</f>
        <v>9532</v>
      </c>
    </row>
    <row r="835" spans="1:7" x14ac:dyDescent="0.3">
      <c r="A835">
        <v>833</v>
      </c>
      <c r="B835" t="s">
        <v>443</v>
      </c>
      <c r="C835" t="s">
        <v>7</v>
      </c>
      <c r="D835" t="s">
        <v>35</v>
      </c>
      <c r="E835" t="s">
        <v>36</v>
      </c>
      <c r="F835" t="s">
        <v>10</v>
      </c>
      <c r="G835" s="3">
        <f t="shared" ca="1" si="13"/>
        <v>9807</v>
      </c>
    </row>
    <row r="836" spans="1:7" x14ac:dyDescent="0.3">
      <c r="A836">
        <v>834</v>
      </c>
      <c r="B836" t="s">
        <v>443</v>
      </c>
      <c r="C836" t="s">
        <v>24</v>
      </c>
      <c r="D836" t="s">
        <v>196</v>
      </c>
      <c r="E836" t="s">
        <v>153</v>
      </c>
      <c r="F836" t="s">
        <v>10</v>
      </c>
      <c r="G836" s="3">
        <f t="shared" ca="1" si="13"/>
        <v>10163</v>
      </c>
    </row>
    <row r="837" spans="1:7" x14ac:dyDescent="0.3">
      <c r="A837">
        <v>835</v>
      </c>
      <c r="B837" t="s">
        <v>443</v>
      </c>
      <c r="C837" t="s">
        <v>7</v>
      </c>
      <c r="D837" t="s">
        <v>496</v>
      </c>
      <c r="E837" t="s">
        <v>19</v>
      </c>
      <c r="F837" t="s">
        <v>10</v>
      </c>
      <c r="G837" s="3">
        <f t="shared" ca="1" si="13"/>
        <v>11534</v>
      </c>
    </row>
    <row r="838" spans="1:7" x14ac:dyDescent="0.3">
      <c r="A838">
        <v>836</v>
      </c>
      <c r="B838" t="s">
        <v>443</v>
      </c>
      <c r="C838" t="s">
        <v>7</v>
      </c>
      <c r="D838" t="s">
        <v>212</v>
      </c>
      <c r="E838" t="s">
        <v>213</v>
      </c>
      <c r="F838" t="s">
        <v>10</v>
      </c>
      <c r="G838" s="3">
        <f t="shared" ca="1" si="13"/>
        <v>8361</v>
      </c>
    </row>
    <row r="839" spans="1:7" x14ac:dyDescent="0.3">
      <c r="A839">
        <v>837</v>
      </c>
      <c r="B839" t="s">
        <v>443</v>
      </c>
      <c r="C839" t="s">
        <v>24</v>
      </c>
      <c r="D839" t="s">
        <v>453</v>
      </c>
      <c r="E839" t="s">
        <v>153</v>
      </c>
      <c r="F839" t="s">
        <v>19</v>
      </c>
      <c r="G839" s="3">
        <f t="shared" ca="1" si="13"/>
        <v>9280</v>
      </c>
    </row>
    <row r="840" spans="1:7" x14ac:dyDescent="0.3">
      <c r="A840">
        <v>838</v>
      </c>
      <c r="B840" t="s">
        <v>443</v>
      </c>
      <c r="C840" t="s">
        <v>7</v>
      </c>
      <c r="D840" t="s">
        <v>22</v>
      </c>
      <c r="E840" t="s">
        <v>451</v>
      </c>
      <c r="F840" t="s">
        <v>10</v>
      </c>
      <c r="G840" s="3">
        <f t="shared" ca="1" si="13"/>
        <v>7386</v>
      </c>
    </row>
    <row r="841" spans="1:7" x14ac:dyDescent="0.3">
      <c r="A841">
        <v>839</v>
      </c>
      <c r="B841" t="s">
        <v>443</v>
      </c>
      <c r="C841" t="s">
        <v>7</v>
      </c>
      <c r="D841" t="s">
        <v>19</v>
      </c>
      <c r="E841" t="s">
        <v>497</v>
      </c>
      <c r="F841" t="s">
        <v>31</v>
      </c>
      <c r="G841" s="3">
        <f t="shared" ca="1" si="13"/>
        <v>9401</v>
      </c>
    </row>
    <row r="842" spans="1:7" x14ac:dyDescent="0.3">
      <c r="A842">
        <v>840</v>
      </c>
      <c r="B842" t="s">
        <v>443</v>
      </c>
      <c r="C842" t="s">
        <v>13</v>
      </c>
      <c r="D842" t="s">
        <v>80</v>
      </c>
      <c r="E842" t="s">
        <v>498</v>
      </c>
      <c r="F842" t="s">
        <v>10</v>
      </c>
      <c r="G842" s="3">
        <f t="shared" ca="1" si="13"/>
        <v>11040</v>
      </c>
    </row>
    <row r="843" spans="1:7" x14ac:dyDescent="0.3">
      <c r="A843">
        <v>841</v>
      </c>
      <c r="B843" t="s">
        <v>443</v>
      </c>
      <c r="C843" t="s">
        <v>13</v>
      </c>
      <c r="D843" t="s">
        <v>459</v>
      </c>
      <c r="E843" t="s">
        <v>468</v>
      </c>
      <c r="F843" t="s">
        <v>10</v>
      </c>
      <c r="G843" s="3">
        <f t="shared" ca="1" si="13"/>
        <v>8101</v>
      </c>
    </row>
    <row r="844" spans="1:7" x14ac:dyDescent="0.3">
      <c r="A844">
        <v>842</v>
      </c>
      <c r="B844" t="s">
        <v>443</v>
      </c>
      <c r="C844" t="s">
        <v>13</v>
      </c>
      <c r="D844" t="s">
        <v>499</v>
      </c>
      <c r="E844" t="s">
        <v>153</v>
      </c>
      <c r="F844" t="s">
        <v>10</v>
      </c>
      <c r="G844" s="3">
        <f t="shared" ca="1" si="13"/>
        <v>7762</v>
      </c>
    </row>
    <row r="845" spans="1:7" x14ac:dyDescent="0.3">
      <c r="A845">
        <v>843</v>
      </c>
      <c r="B845" t="s">
        <v>443</v>
      </c>
      <c r="C845" t="s">
        <v>7</v>
      </c>
      <c r="D845" t="s">
        <v>35</v>
      </c>
      <c r="E845" t="s">
        <v>36</v>
      </c>
      <c r="F845" t="s">
        <v>10</v>
      </c>
      <c r="G845" s="3">
        <f t="shared" ca="1" si="13"/>
        <v>10960</v>
      </c>
    </row>
    <row r="846" spans="1:7" x14ac:dyDescent="0.3">
      <c r="A846">
        <v>844</v>
      </c>
      <c r="B846" t="s">
        <v>443</v>
      </c>
      <c r="C846" t="s">
        <v>13</v>
      </c>
      <c r="D846" t="s">
        <v>500</v>
      </c>
      <c r="E846" t="s">
        <v>501</v>
      </c>
      <c r="F846" t="s">
        <v>10</v>
      </c>
      <c r="G846" s="3">
        <f t="shared" ca="1" si="13"/>
        <v>10021</v>
      </c>
    </row>
    <row r="847" spans="1:7" x14ac:dyDescent="0.3">
      <c r="A847">
        <v>845</v>
      </c>
      <c r="B847" t="s">
        <v>443</v>
      </c>
      <c r="C847" t="s">
        <v>24</v>
      </c>
      <c r="D847" t="s">
        <v>16</v>
      </c>
      <c r="E847" t="s">
        <v>153</v>
      </c>
      <c r="F847" t="s">
        <v>19</v>
      </c>
      <c r="G847" s="3">
        <f t="shared" ca="1" si="13"/>
        <v>8007</v>
      </c>
    </row>
    <row r="848" spans="1:7" x14ac:dyDescent="0.3">
      <c r="A848">
        <v>846</v>
      </c>
      <c r="B848" t="s">
        <v>443</v>
      </c>
      <c r="C848" t="s">
        <v>7</v>
      </c>
      <c r="D848" t="s">
        <v>502</v>
      </c>
      <c r="E848" t="s">
        <v>153</v>
      </c>
      <c r="F848" t="s">
        <v>10</v>
      </c>
      <c r="G848" s="3">
        <f t="shared" ca="1" si="13"/>
        <v>9566</v>
      </c>
    </row>
    <row r="849" spans="1:7" x14ac:dyDescent="0.3">
      <c r="A849">
        <v>847</v>
      </c>
      <c r="B849" t="s">
        <v>443</v>
      </c>
      <c r="C849" t="s">
        <v>13</v>
      </c>
      <c r="D849" t="s">
        <v>503</v>
      </c>
      <c r="E849" t="s">
        <v>504</v>
      </c>
      <c r="F849" t="s">
        <v>19</v>
      </c>
      <c r="G849" s="3">
        <f t="shared" ca="1" si="13"/>
        <v>7719</v>
      </c>
    </row>
    <row r="850" spans="1:7" x14ac:dyDescent="0.3">
      <c r="A850">
        <v>848</v>
      </c>
      <c r="B850" t="s">
        <v>443</v>
      </c>
      <c r="C850" t="s">
        <v>7</v>
      </c>
      <c r="D850" t="s">
        <v>505</v>
      </c>
      <c r="E850" t="s">
        <v>468</v>
      </c>
      <c r="F850" t="s">
        <v>10</v>
      </c>
      <c r="G850" s="3">
        <f t="shared" ca="1" si="13"/>
        <v>9537</v>
      </c>
    </row>
    <row r="851" spans="1:7" x14ac:dyDescent="0.3">
      <c r="A851">
        <v>849</v>
      </c>
      <c r="B851" t="s">
        <v>443</v>
      </c>
      <c r="C851" t="s">
        <v>19</v>
      </c>
      <c r="D851" t="s">
        <v>19</v>
      </c>
      <c r="E851" t="s">
        <v>19</v>
      </c>
      <c r="F851" t="s">
        <v>19</v>
      </c>
      <c r="G851" s="3">
        <f t="shared" ca="1" si="13"/>
        <v>8624</v>
      </c>
    </row>
    <row r="852" spans="1:7" x14ac:dyDescent="0.3">
      <c r="A852">
        <v>850</v>
      </c>
      <c r="B852" t="s">
        <v>443</v>
      </c>
      <c r="C852" t="s">
        <v>7</v>
      </c>
      <c r="D852" t="s">
        <v>506</v>
      </c>
      <c r="E852" t="s">
        <v>507</v>
      </c>
      <c r="F852" t="s">
        <v>291</v>
      </c>
      <c r="G852" s="3">
        <f t="shared" ca="1" si="13"/>
        <v>11516</v>
      </c>
    </row>
    <row r="853" spans="1:7" x14ac:dyDescent="0.3">
      <c r="A853">
        <v>851</v>
      </c>
      <c r="B853" t="s">
        <v>443</v>
      </c>
      <c r="C853" t="s">
        <v>7</v>
      </c>
      <c r="D853" t="s">
        <v>335</v>
      </c>
      <c r="E853" t="s">
        <v>336</v>
      </c>
      <c r="F853" t="s">
        <v>19</v>
      </c>
      <c r="G853" s="3">
        <f t="shared" ca="1" si="13"/>
        <v>10088</v>
      </c>
    </row>
    <row r="854" spans="1:7" x14ac:dyDescent="0.3">
      <c r="A854">
        <v>852</v>
      </c>
      <c r="B854" t="s">
        <v>443</v>
      </c>
      <c r="C854" t="s">
        <v>7</v>
      </c>
      <c r="D854" t="s">
        <v>45</v>
      </c>
      <c r="E854" t="s">
        <v>92</v>
      </c>
      <c r="F854" t="s">
        <v>10</v>
      </c>
      <c r="G854" s="3">
        <f t="shared" ca="1" si="13"/>
        <v>9462</v>
      </c>
    </row>
    <row r="855" spans="1:7" x14ac:dyDescent="0.3">
      <c r="A855">
        <v>853</v>
      </c>
      <c r="B855" t="s">
        <v>443</v>
      </c>
      <c r="C855" t="s">
        <v>13</v>
      </c>
      <c r="D855" t="s">
        <v>508</v>
      </c>
      <c r="E855" t="s">
        <v>153</v>
      </c>
      <c r="F855" t="s">
        <v>10</v>
      </c>
      <c r="G855" s="3">
        <f t="shared" ca="1" si="13"/>
        <v>10812</v>
      </c>
    </row>
    <row r="856" spans="1:7" x14ac:dyDescent="0.3">
      <c r="A856">
        <v>854</v>
      </c>
      <c r="B856" t="s">
        <v>443</v>
      </c>
      <c r="C856" t="s">
        <v>13</v>
      </c>
      <c r="D856" t="s">
        <v>500</v>
      </c>
      <c r="E856" t="s">
        <v>501</v>
      </c>
      <c r="F856" t="s">
        <v>10</v>
      </c>
      <c r="G856" s="3">
        <f t="shared" ca="1" si="13"/>
        <v>10158</v>
      </c>
    </row>
    <row r="857" spans="1:7" x14ac:dyDescent="0.3">
      <c r="A857">
        <v>855</v>
      </c>
      <c r="B857" t="s">
        <v>443</v>
      </c>
      <c r="C857" t="s">
        <v>24</v>
      </c>
      <c r="D857" t="s">
        <v>16</v>
      </c>
      <c r="E857" t="s">
        <v>153</v>
      </c>
      <c r="F857" t="s">
        <v>19</v>
      </c>
      <c r="G857" s="3">
        <f t="shared" ca="1" si="13"/>
        <v>9894</v>
      </c>
    </row>
    <row r="858" spans="1:7" x14ac:dyDescent="0.3">
      <c r="A858">
        <v>856</v>
      </c>
      <c r="B858" t="s">
        <v>443</v>
      </c>
      <c r="C858" t="s">
        <v>7</v>
      </c>
      <c r="D858" t="s">
        <v>502</v>
      </c>
      <c r="E858" t="s">
        <v>153</v>
      </c>
      <c r="F858" t="s">
        <v>10</v>
      </c>
      <c r="G858" s="3">
        <f t="shared" ca="1" si="13"/>
        <v>7596</v>
      </c>
    </row>
    <row r="859" spans="1:7" x14ac:dyDescent="0.3">
      <c r="A859">
        <v>857</v>
      </c>
      <c r="B859" t="s">
        <v>443</v>
      </c>
      <c r="C859" t="s">
        <v>13</v>
      </c>
      <c r="D859" t="s">
        <v>503</v>
      </c>
      <c r="E859" t="s">
        <v>504</v>
      </c>
      <c r="F859" t="s">
        <v>19</v>
      </c>
      <c r="G859" s="3">
        <f t="shared" ca="1" si="13"/>
        <v>8878</v>
      </c>
    </row>
    <row r="860" spans="1:7" x14ac:dyDescent="0.3">
      <c r="A860">
        <v>858</v>
      </c>
      <c r="B860" t="s">
        <v>443</v>
      </c>
      <c r="C860" t="s">
        <v>7</v>
      </c>
      <c r="D860" t="s">
        <v>505</v>
      </c>
      <c r="E860" t="s">
        <v>468</v>
      </c>
      <c r="F860" t="s">
        <v>10</v>
      </c>
      <c r="G860" s="3">
        <f t="shared" ca="1" si="13"/>
        <v>10674</v>
      </c>
    </row>
    <row r="861" spans="1:7" x14ac:dyDescent="0.3">
      <c r="A861">
        <v>859</v>
      </c>
      <c r="B861" t="s">
        <v>443</v>
      </c>
      <c r="C861" t="s">
        <v>24</v>
      </c>
      <c r="D861" t="s">
        <v>509</v>
      </c>
      <c r="E861" t="s">
        <v>510</v>
      </c>
      <c r="F861" t="s">
        <v>10</v>
      </c>
      <c r="G861" s="3">
        <f t="shared" ca="1" si="13"/>
        <v>9536</v>
      </c>
    </row>
    <row r="862" spans="1:7" x14ac:dyDescent="0.3">
      <c r="A862">
        <v>860</v>
      </c>
      <c r="B862" t="s">
        <v>443</v>
      </c>
      <c r="C862" t="s">
        <v>7</v>
      </c>
      <c r="D862" t="s">
        <v>506</v>
      </c>
      <c r="E862" t="s">
        <v>507</v>
      </c>
      <c r="F862" t="s">
        <v>291</v>
      </c>
      <c r="G862" s="3">
        <f t="shared" ca="1" si="13"/>
        <v>11972</v>
      </c>
    </row>
    <row r="863" spans="1:7" x14ac:dyDescent="0.3">
      <c r="A863">
        <v>861</v>
      </c>
      <c r="B863" t="s">
        <v>443</v>
      </c>
      <c r="C863" t="s">
        <v>19</v>
      </c>
      <c r="D863" t="s">
        <v>335</v>
      </c>
      <c r="E863" t="s">
        <v>336</v>
      </c>
      <c r="F863" t="s">
        <v>19</v>
      </c>
      <c r="G863" s="3">
        <f t="shared" ca="1" si="13"/>
        <v>6816</v>
      </c>
    </row>
    <row r="864" spans="1:7" x14ac:dyDescent="0.3">
      <c r="A864">
        <v>862</v>
      </c>
      <c r="B864" t="s">
        <v>443</v>
      </c>
      <c r="C864" t="s">
        <v>7</v>
      </c>
      <c r="D864" t="s">
        <v>45</v>
      </c>
      <c r="E864" t="s">
        <v>92</v>
      </c>
      <c r="F864" t="s">
        <v>10</v>
      </c>
      <c r="G864" s="3">
        <f t="shared" ca="1" si="13"/>
        <v>8098</v>
      </c>
    </row>
    <row r="865" spans="1:7" x14ac:dyDescent="0.3">
      <c r="A865">
        <v>863</v>
      </c>
      <c r="B865" t="s">
        <v>443</v>
      </c>
      <c r="C865" t="s">
        <v>13</v>
      </c>
      <c r="D865" t="s">
        <v>508</v>
      </c>
      <c r="E865" t="s">
        <v>153</v>
      </c>
      <c r="F865" t="s">
        <v>10</v>
      </c>
      <c r="G865" s="3">
        <f t="shared" ca="1" si="13"/>
        <v>10551</v>
      </c>
    </row>
    <row r="866" spans="1:7" x14ac:dyDescent="0.3">
      <c r="A866">
        <v>864</v>
      </c>
      <c r="B866" t="s">
        <v>443</v>
      </c>
      <c r="C866" t="s">
        <v>19</v>
      </c>
      <c r="D866" t="s">
        <v>450</v>
      </c>
      <c r="E866" t="s">
        <v>153</v>
      </c>
      <c r="F866" t="s">
        <v>104</v>
      </c>
      <c r="G866" s="3">
        <f t="shared" ca="1" si="13"/>
        <v>11468</v>
      </c>
    </row>
    <row r="867" spans="1:7" x14ac:dyDescent="0.3">
      <c r="A867">
        <v>865</v>
      </c>
      <c r="B867" t="s">
        <v>443</v>
      </c>
      <c r="C867" t="s">
        <v>19</v>
      </c>
      <c r="D867" t="s">
        <v>19</v>
      </c>
      <c r="E867" t="s">
        <v>19</v>
      </c>
      <c r="F867" t="s">
        <v>19</v>
      </c>
      <c r="G867" s="3">
        <f t="shared" ca="1" si="13"/>
        <v>10751</v>
      </c>
    </row>
    <row r="868" spans="1:7" x14ac:dyDescent="0.3">
      <c r="A868">
        <v>866</v>
      </c>
      <c r="B868" t="s">
        <v>443</v>
      </c>
      <c r="C868" t="s">
        <v>13</v>
      </c>
      <c r="D868" t="s">
        <v>511</v>
      </c>
      <c r="E868" t="s">
        <v>101</v>
      </c>
      <c r="F868" t="s">
        <v>10</v>
      </c>
      <c r="G868" s="3">
        <f t="shared" ca="1" si="13"/>
        <v>10396</v>
      </c>
    </row>
    <row r="869" spans="1:7" x14ac:dyDescent="0.3">
      <c r="A869">
        <v>867</v>
      </c>
      <c r="B869" t="s">
        <v>443</v>
      </c>
      <c r="C869" t="s">
        <v>13</v>
      </c>
      <c r="D869" t="s">
        <v>91</v>
      </c>
      <c r="E869" t="s">
        <v>512</v>
      </c>
      <c r="F869" t="s">
        <v>10</v>
      </c>
      <c r="G869" s="3">
        <f t="shared" ca="1" si="13"/>
        <v>8279</v>
      </c>
    </row>
    <row r="870" spans="1:7" x14ac:dyDescent="0.3">
      <c r="A870">
        <v>868</v>
      </c>
      <c r="B870" t="s">
        <v>443</v>
      </c>
      <c r="C870" t="s">
        <v>7</v>
      </c>
      <c r="D870" t="s">
        <v>119</v>
      </c>
      <c r="E870" t="s">
        <v>513</v>
      </c>
      <c r="F870" t="s">
        <v>31</v>
      </c>
      <c r="G870" s="3">
        <f t="shared" ca="1" si="13"/>
        <v>10542</v>
      </c>
    </row>
    <row r="871" spans="1:7" x14ac:dyDescent="0.3">
      <c r="A871">
        <v>869</v>
      </c>
      <c r="B871" t="s">
        <v>443</v>
      </c>
      <c r="C871" t="s">
        <v>7</v>
      </c>
      <c r="D871" t="s">
        <v>80</v>
      </c>
      <c r="E871" t="s">
        <v>153</v>
      </c>
      <c r="F871" t="s">
        <v>10</v>
      </c>
      <c r="G871" s="3">
        <f t="shared" ca="1" si="13"/>
        <v>11157</v>
      </c>
    </row>
    <row r="872" spans="1:7" x14ac:dyDescent="0.3">
      <c r="A872">
        <v>870</v>
      </c>
      <c r="B872" t="s">
        <v>443</v>
      </c>
      <c r="C872" t="s">
        <v>7</v>
      </c>
      <c r="D872" t="s">
        <v>115</v>
      </c>
      <c r="E872" t="s">
        <v>19</v>
      </c>
      <c r="F872" t="s">
        <v>104</v>
      </c>
      <c r="G872" s="3">
        <f t="shared" ca="1" si="13"/>
        <v>9556</v>
      </c>
    </row>
    <row r="873" spans="1:7" x14ac:dyDescent="0.3">
      <c r="A873">
        <v>871</v>
      </c>
      <c r="B873" t="s">
        <v>443</v>
      </c>
      <c r="C873" t="s">
        <v>19</v>
      </c>
      <c r="D873" t="s">
        <v>514</v>
      </c>
      <c r="E873" t="s">
        <v>19</v>
      </c>
      <c r="F873" t="s">
        <v>19</v>
      </c>
      <c r="G873" s="3">
        <f t="shared" ca="1" si="13"/>
        <v>9667</v>
      </c>
    </row>
    <row r="874" spans="1:7" x14ac:dyDescent="0.3">
      <c r="A874">
        <v>872</v>
      </c>
      <c r="B874" t="s">
        <v>443</v>
      </c>
      <c r="C874" t="s">
        <v>13</v>
      </c>
      <c r="D874" t="s">
        <v>515</v>
      </c>
      <c r="E874" t="s">
        <v>489</v>
      </c>
      <c r="F874" t="s">
        <v>10</v>
      </c>
      <c r="G874" s="3">
        <f t="shared" ca="1" si="13"/>
        <v>10367</v>
      </c>
    </row>
    <row r="875" spans="1:7" x14ac:dyDescent="0.3">
      <c r="A875">
        <v>873</v>
      </c>
      <c r="B875" t="s">
        <v>443</v>
      </c>
      <c r="C875" t="s">
        <v>19</v>
      </c>
      <c r="D875" t="s">
        <v>16</v>
      </c>
      <c r="E875" t="s">
        <v>472</v>
      </c>
      <c r="F875" t="s">
        <v>10</v>
      </c>
      <c r="G875" s="3">
        <f t="shared" ca="1" si="13"/>
        <v>7737</v>
      </c>
    </row>
    <row r="876" spans="1:7" x14ac:dyDescent="0.3">
      <c r="A876">
        <v>874</v>
      </c>
      <c r="B876" t="s">
        <v>443</v>
      </c>
      <c r="C876" t="s">
        <v>13</v>
      </c>
      <c r="D876" t="s">
        <v>450</v>
      </c>
      <c r="E876" t="s">
        <v>153</v>
      </c>
      <c r="F876" t="s">
        <v>104</v>
      </c>
      <c r="G876" s="3">
        <f t="shared" ca="1" si="13"/>
        <v>7946</v>
      </c>
    </row>
    <row r="877" spans="1:7" x14ac:dyDescent="0.3">
      <c r="A877">
        <v>875</v>
      </c>
      <c r="B877" t="s">
        <v>443</v>
      </c>
      <c r="C877" t="s">
        <v>19</v>
      </c>
      <c r="D877" t="s">
        <v>19</v>
      </c>
      <c r="E877" t="s">
        <v>19</v>
      </c>
      <c r="F877" t="s">
        <v>19</v>
      </c>
      <c r="G877" s="3">
        <f t="shared" ca="1" si="13"/>
        <v>10719</v>
      </c>
    </row>
    <row r="878" spans="1:7" x14ac:dyDescent="0.3">
      <c r="A878">
        <v>876</v>
      </c>
      <c r="B878" t="s">
        <v>443</v>
      </c>
      <c r="C878" t="s">
        <v>13</v>
      </c>
      <c r="D878" t="s">
        <v>511</v>
      </c>
      <c r="E878" t="s">
        <v>101</v>
      </c>
      <c r="F878" t="s">
        <v>10</v>
      </c>
      <c r="G878" s="3">
        <f t="shared" ca="1" si="13"/>
        <v>11300</v>
      </c>
    </row>
    <row r="879" spans="1:7" x14ac:dyDescent="0.3">
      <c r="A879">
        <v>877</v>
      </c>
      <c r="B879" t="s">
        <v>443</v>
      </c>
      <c r="C879" t="s">
        <v>13</v>
      </c>
      <c r="D879" t="s">
        <v>91</v>
      </c>
      <c r="E879" t="s">
        <v>512</v>
      </c>
      <c r="F879" t="s">
        <v>10</v>
      </c>
      <c r="G879" s="3">
        <f t="shared" ca="1" si="13"/>
        <v>11855</v>
      </c>
    </row>
    <row r="880" spans="1:7" x14ac:dyDescent="0.3">
      <c r="A880">
        <v>878</v>
      </c>
      <c r="B880" t="s">
        <v>443</v>
      </c>
      <c r="C880" t="s">
        <v>7</v>
      </c>
      <c r="D880" t="s">
        <v>119</v>
      </c>
      <c r="E880" t="s">
        <v>19</v>
      </c>
      <c r="F880" t="s">
        <v>31</v>
      </c>
      <c r="G880" s="3">
        <f t="shared" ca="1" si="13"/>
        <v>10236</v>
      </c>
    </row>
    <row r="881" spans="1:7" x14ac:dyDescent="0.3">
      <c r="A881">
        <v>879</v>
      </c>
      <c r="B881" t="s">
        <v>443</v>
      </c>
      <c r="C881" t="s">
        <v>7</v>
      </c>
      <c r="D881" t="s">
        <v>80</v>
      </c>
      <c r="E881" t="s">
        <v>153</v>
      </c>
      <c r="F881" t="s">
        <v>10</v>
      </c>
      <c r="G881" s="3">
        <f t="shared" ca="1" si="13"/>
        <v>7636</v>
      </c>
    </row>
    <row r="882" spans="1:7" x14ac:dyDescent="0.3">
      <c r="A882">
        <v>880</v>
      </c>
      <c r="B882" t="s">
        <v>443</v>
      </c>
      <c r="C882" t="s">
        <v>7</v>
      </c>
      <c r="D882" t="s">
        <v>115</v>
      </c>
      <c r="E882" t="s">
        <v>19</v>
      </c>
      <c r="F882" t="s">
        <v>104</v>
      </c>
      <c r="G882" s="3">
        <f t="shared" ca="1" si="13"/>
        <v>10188</v>
      </c>
    </row>
    <row r="883" spans="1:7" x14ac:dyDescent="0.3">
      <c r="A883">
        <v>881</v>
      </c>
      <c r="B883" t="s">
        <v>443</v>
      </c>
      <c r="C883" t="s">
        <v>19</v>
      </c>
      <c r="D883" t="s">
        <v>19</v>
      </c>
      <c r="E883" t="s">
        <v>19</v>
      </c>
      <c r="F883" t="s">
        <v>19</v>
      </c>
      <c r="G883" s="3">
        <f t="shared" ca="1" si="13"/>
        <v>10794</v>
      </c>
    </row>
    <row r="884" spans="1:7" x14ac:dyDescent="0.3">
      <c r="A884">
        <v>882</v>
      </c>
      <c r="B884" t="s">
        <v>443</v>
      </c>
      <c r="C884" t="s">
        <v>13</v>
      </c>
      <c r="D884" t="s">
        <v>515</v>
      </c>
      <c r="E884" t="s">
        <v>489</v>
      </c>
      <c r="F884" t="s">
        <v>10</v>
      </c>
      <c r="G884" s="3">
        <f t="shared" ca="1" si="13"/>
        <v>10482</v>
      </c>
    </row>
    <row r="885" spans="1:7" x14ac:dyDescent="0.3">
      <c r="A885">
        <v>883</v>
      </c>
      <c r="B885" t="s">
        <v>443</v>
      </c>
      <c r="C885" t="s">
        <v>24</v>
      </c>
      <c r="D885" t="s">
        <v>16</v>
      </c>
      <c r="E885" t="s">
        <v>472</v>
      </c>
      <c r="F885" t="s">
        <v>10</v>
      </c>
      <c r="G885" s="3">
        <f t="shared" ca="1" si="13"/>
        <v>6989</v>
      </c>
    </row>
    <row r="886" spans="1:7" x14ac:dyDescent="0.3">
      <c r="A886">
        <v>884</v>
      </c>
      <c r="B886" t="s">
        <v>443</v>
      </c>
      <c r="C886" t="s">
        <v>19</v>
      </c>
      <c r="D886" t="s">
        <v>19</v>
      </c>
      <c r="E886" t="s">
        <v>19</v>
      </c>
      <c r="F886" t="s">
        <v>19</v>
      </c>
      <c r="G886" s="3">
        <f t="shared" ca="1" si="13"/>
        <v>8970</v>
      </c>
    </row>
    <row r="887" spans="1:7" x14ac:dyDescent="0.3">
      <c r="A887">
        <v>885</v>
      </c>
      <c r="B887" t="s">
        <v>443</v>
      </c>
      <c r="C887" t="s">
        <v>13</v>
      </c>
      <c r="D887" t="s">
        <v>100</v>
      </c>
      <c r="E887" t="s">
        <v>516</v>
      </c>
      <c r="F887" t="s">
        <v>291</v>
      </c>
      <c r="G887" s="3">
        <f t="shared" ca="1" si="13"/>
        <v>9347</v>
      </c>
    </row>
    <row r="888" spans="1:7" x14ac:dyDescent="0.3">
      <c r="A888">
        <v>886</v>
      </c>
      <c r="B888" t="s">
        <v>443</v>
      </c>
      <c r="C888" t="s">
        <v>7</v>
      </c>
      <c r="D888" t="s">
        <v>47</v>
      </c>
      <c r="E888" t="s">
        <v>275</v>
      </c>
      <c r="F888" t="s">
        <v>10</v>
      </c>
      <c r="G888" s="3">
        <f t="shared" ca="1" si="13"/>
        <v>11087</v>
      </c>
    </row>
    <row r="889" spans="1:7" x14ac:dyDescent="0.3">
      <c r="A889">
        <v>887</v>
      </c>
      <c r="B889" t="s">
        <v>443</v>
      </c>
      <c r="C889" t="s">
        <v>13</v>
      </c>
      <c r="D889" t="s">
        <v>517</v>
      </c>
      <c r="E889" t="s">
        <v>395</v>
      </c>
      <c r="F889" t="s">
        <v>10</v>
      </c>
      <c r="G889" s="3">
        <f t="shared" ca="1" si="13"/>
        <v>11382</v>
      </c>
    </row>
    <row r="890" spans="1:7" x14ac:dyDescent="0.3">
      <c r="A890">
        <v>888</v>
      </c>
      <c r="B890" t="s">
        <v>443</v>
      </c>
      <c r="C890" t="s">
        <v>13</v>
      </c>
      <c r="D890" t="s">
        <v>518</v>
      </c>
      <c r="E890" t="s">
        <v>26</v>
      </c>
      <c r="F890" t="s">
        <v>10</v>
      </c>
      <c r="G890" s="3">
        <f t="shared" ca="1" si="13"/>
        <v>9275</v>
      </c>
    </row>
    <row r="891" spans="1:7" x14ac:dyDescent="0.3">
      <c r="A891">
        <v>889</v>
      </c>
      <c r="B891" t="s">
        <v>443</v>
      </c>
      <c r="C891" t="s">
        <v>19</v>
      </c>
      <c r="D891" t="s">
        <v>19</v>
      </c>
      <c r="E891" t="s">
        <v>19</v>
      </c>
      <c r="F891" t="s">
        <v>19</v>
      </c>
      <c r="G891" s="3">
        <f t="shared" ca="1" si="13"/>
        <v>6530</v>
      </c>
    </row>
    <row r="892" spans="1:7" x14ac:dyDescent="0.3">
      <c r="A892">
        <v>890</v>
      </c>
      <c r="B892" t="s">
        <v>443</v>
      </c>
      <c r="C892" t="s">
        <v>7</v>
      </c>
      <c r="D892" t="s">
        <v>81</v>
      </c>
      <c r="E892" t="s">
        <v>19</v>
      </c>
      <c r="F892" t="s">
        <v>10</v>
      </c>
      <c r="G892" s="3">
        <f t="shared" ca="1" si="13"/>
        <v>11336</v>
      </c>
    </row>
    <row r="893" spans="1:7" x14ac:dyDescent="0.3">
      <c r="A893">
        <v>891</v>
      </c>
      <c r="B893" t="s">
        <v>443</v>
      </c>
      <c r="C893" t="s">
        <v>13</v>
      </c>
      <c r="D893" t="s">
        <v>89</v>
      </c>
      <c r="E893" t="s">
        <v>264</v>
      </c>
      <c r="F893" t="s">
        <v>104</v>
      </c>
      <c r="G893" s="3">
        <f t="shared" ca="1" si="13"/>
        <v>6859</v>
      </c>
    </row>
    <row r="894" spans="1:7" x14ac:dyDescent="0.3">
      <c r="A894">
        <v>892</v>
      </c>
      <c r="B894" t="s">
        <v>443</v>
      </c>
      <c r="C894" t="s">
        <v>7</v>
      </c>
      <c r="D894" t="s">
        <v>452</v>
      </c>
      <c r="E894" t="s">
        <v>519</v>
      </c>
      <c r="F894" t="s">
        <v>10</v>
      </c>
      <c r="G894" s="3">
        <f t="shared" ca="1" si="13"/>
        <v>10188</v>
      </c>
    </row>
    <row r="895" spans="1:7" x14ac:dyDescent="0.3">
      <c r="A895">
        <v>893</v>
      </c>
      <c r="B895" t="s">
        <v>443</v>
      </c>
      <c r="C895" t="s">
        <v>7</v>
      </c>
      <c r="D895" t="s">
        <v>231</v>
      </c>
      <c r="E895" t="s">
        <v>232</v>
      </c>
      <c r="F895" t="s">
        <v>10</v>
      </c>
      <c r="G895" s="3">
        <f t="shared" ca="1" si="13"/>
        <v>11812</v>
      </c>
    </row>
    <row r="896" spans="1:7" x14ac:dyDescent="0.3">
      <c r="A896">
        <v>894</v>
      </c>
      <c r="B896" t="s">
        <v>443</v>
      </c>
      <c r="C896" t="s">
        <v>19</v>
      </c>
      <c r="D896" t="s">
        <v>19</v>
      </c>
      <c r="E896" t="s">
        <v>19</v>
      </c>
      <c r="F896" t="s">
        <v>19</v>
      </c>
      <c r="G896" s="3">
        <f t="shared" ca="1" si="13"/>
        <v>9102</v>
      </c>
    </row>
    <row r="897" spans="1:7" x14ac:dyDescent="0.3">
      <c r="A897">
        <v>895</v>
      </c>
      <c r="B897" t="s">
        <v>443</v>
      </c>
      <c r="C897" t="s">
        <v>13</v>
      </c>
      <c r="D897" t="s">
        <v>100</v>
      </c>
      <c r="E897" t="s">
        <v>516</v>
      </c>
      <c r="F897" t="s">
        <v>291</v>
      </c>
      <c r="G897" s="3">
        <f t="shared" ca="1" si="13"/>
        <v>6733</v>
      </c>
    </row>
    <row r="898" spans="1:7" x14ac:dyDescent="0.3">
      <c r="A898">
        <v>896</v>
      </c>
      <c r="B898" t="s">
        <v>443</v>
      </c>
      <c r="C898" t="s">
        <v>7</v>
      </c>
      <c r="D898" t="s">
        <v>47</v>
      </c>
      <c r="E898" t="s">
        <v>275</v>
      </c>
      <c r="F898" t="s">
        <v>10</v>
      </c>
      <c r="G898" s="3">
        <f t="shared" ref="G898:G961" ca="1" si="14">RANDBETWEEN(6500,12000)</f>
        <v>6506</v>
      </c>
    </row>
    <row r="899" spans="1:7" x14ac:dyDescent="0.3">
      <c r="A899">
        <v>897</v>
      </c>
      <c r="B899" t="s">
        <v>443</v>
      </c>
      <c r="C899" t="s">
        <v>13</v>
      </c>
      <c r="D899" t="s">
        <v>517</v>
      </c>
      <c r="E899" t="s">
        <v>395</v>
      </c>
      <c r="F899" t="s">
        <v>10</v>
      </c>
      <c r="G899" s="3">
        <f t="shared" ca="1" si="14"/>
        <v>7913</v>
      </c>
    </row>
    <row r="900" spans="1:7" x14ac:dyDescent="0.3">
      <c r="A900">
        <v>898</v>
      </c>
      <c r="B900" t="s">
        <v>443</v>
      </c>
      <c r="C900" t="s">
        <v>13</v>
      </c>
      <c r="D900" t="s">
        <v>518</v>
      </c>
      <c r="E900" t="s">
        <v>26</v>
      </c>
      <c r="F900" t="s">
        <v>10</v>
      </c>
      <c r="G900" s="3">
        <f t="shared" ca="1" si="14"/>
        <v>8903</v>
      </c>
    </row>
    <row r="901" spans="1:7" x14ac:dyDescent="0.3">
      <c r="A901">
        <v>899</v>
      </c>
      <c r="B901" t="s">
        <v>443</v>
      </c>
      <c r="C901" t="s">
        <v>13</v>
      </c>
      <c r="D901" t="s">
        <v>97</v>
      </c>
      <c r="E901" t="s">
        <v>19</v>
      </c>
      <c r="F901" t="s">
        <v>19</v>
      </c>
      <c r="G901" s="3">
        <f t="shared" ca="1" si="14"/>
        <v>11091</v>
      </c>
    </row>
    <row r="902" spans="1:7" x14ac:dyDescent="0.3">
      <c r="A902">
        <v>900</v>
      </c>
      <c r="B902" t="s">
        <v>443</v>
      </c>
      <c r="C902" t="s">
        <v>7</v>
      </c>
      <c r="D902" t="s">
        <v>81</v>
      </c>
      <c r="E902" t="s">
        <v>19</v>
      </c>
      <c r="F902" t="s">
        <v>10</v>
      </c>
      <c r="G902" s="3">
        <f t="shared" ca="1" si="14"/>
        <v>9266</v>
      </c>
    </row>
    <row r="903" spans="1:7" x14ac:dyDescent="0.3">
      <c r="A903">
        <v>901</v>
      </c>
      <c r="B903" t="s">
        <v>443</v>
      </c>
      <c r="C903" t="s">
        <v>13</v>
      </c>
      <c r="D903" t="s">
        <v>89</v>
      </c>
      <c r="E903" t="s">
        <v>264</v>
      </c>
      <c r="F903" t="s">
        <v>104</v>
      </c>
      <c r="G903" s="3">
        <f t="shared" ca="1" si="14"/>
        <v>8792</v>
      </c>
    </row>
    <row r="904" spans="1:7" x14ac:dyDescent="0.3">
      <c r="A904">
        <v>902</v>
      </c>
      <c r="B904" t="s">
        <v>443</v>
      </c>
      <c r="C904" t="s">
        <v>7</v>
      </c>
      <c r="D904" t="s">
        <v>452</v>
      </c>
      <c r="E904" t="s">
        <v>519</v>
      </c>
      <c r="F904" t="s">
        <v>10</v>
      </c>
      <c r="G904" s="3">
        <f t="shared" ca="1" si="14"/>
        <v>9184</v>
      </c>
    </row>
    <row r="905" spans="1:7" x14ac:dyDescent="0.3">
      <c r="A905">
        <v>903</v>
      </c>
      <c r="B905" t="s">
        <v>443</v>
      </c>
      <c r="C905" t="s">
        <v>7</v>
      </c>
      <c r="D905" t="s">
        <v>231</v>
      </c>
      <c r="E905" t="s">
        <v>232</v>
      </c>
      <c r="F905" t="s">
        <v>10</v>
      </c>
      <c r="G905" s="3">
        <f t="shared" ca="1" si="14"/>
        <v>11770</v>
      </c>
    </row>
    <row r="906" spans="1:7" x14ac:dyDescent="0.3">
      <c r="A906">
        <v>904</v>
      </c>
      <c r="B906" t="s">
        <v>520</v>
      </c>
      <c r="C906" t="s">
        <v>7</v>
      </c>
      <c r="D906" t="s">
        <v>166</v>
      </c>
      <c r="E906" t="s">
        <v>77</v>
      </c>
      <c r="F906" t="s">
        <v>10</v>
      </c>
      <c r="G906" s="3">
        <f t="shared" ca="1" si="14"/>
        <v>10467</v>
      </c>
    </row>
    <row r="907" spans="1:7" x14ac:dyDescent="0.3">
      <c r="A907">
        <v>905</v>
      </c>
      <c r="B907" t="s">
        <v>520</v>
      </c>
      <c r="C907" t="s">
        <v>24</v>
      </c>
      <c r="D907" t="s">
        <v>133</v>
      </c>
      <c r="E907" t="s">
        <v>521</v>
      </c>
      <c r="F907" t="s">
        <v>10</v>
      </c>
      <c r="G907" s="3">
        <f t="shared" ca="1" si="14"/>
        <v>9680</v>
      </c>
    </row>
    <row r="908" spans="1:7" x14ac:dyDescent="0.3">
      <c r="A908">
        <v>906</v>
      </c>
      <c r="B908" t="s">
        <v>520</v>
      </c>
      <c r="C908" t="s">
        <v>13</v>
      </c>
      <c r="D908" t="s">
        <v>91</v>
      </c>
      <c r="E908" t="s">
        <v>92</v>
      </c>
      <c r="F908" t="s">
        <v>31</v>
      </c>
      <c r="G908" s="3">
        <f t="shared" ca="1" si="14"/>
        <v>7193</v>
      </c>
    </row>
    <row r="909" spans="1:7" x14ac:dyDescent="0.3">
      <c r="A909">
        <v>907</v>
      </c>
      <c r="B909" t="s">
        <v>520</v>
      </c>
      <c r="C909" t="s">
        <v>13</v>
      </c>
      <c r="D909" t="s">
        <v>119</v>
      </c>
      <c r="E909" t="s">
        <v>19</v>
      </c>
      <c r="F909" t="s">
        <v>10</v>
      </c>
      <c r="G909" s="3">
        <f t="shared" ca="1" si="14"/>
        <v>11427</v>
      </c>
    </row>
    <row r="910" spans="1:7" x14ac:dyDescent="0.3">
      <c r="A910">
        <v>908</v>
      </c>
      <c r="B910" t="s">
        <v>520</v>
      </c>
      <c r="C910" t="s">
        <v>7</v>
      </c>
      <c r="D910" t="s">
        <v>522</v>
      </c>
      <c r="E910" t="s">
        <v>523</v>
      </c>
      <c r="F910" t="s">
        <v>10</v>
      </c>
      <c r="G910" s="3">
        <f t="shared" ca="1" si="14"/>
        <v>11762</v>
      </c>
    </row>
    <row r="911" spans="1:7" x14ac:dyDescent="0.3">
      <c r="A911">
        <v>909</v>
      </c>
      <c r="B911" t="s">
        <v>520</v>
      </c>
      <c r="C911" t="s">
        <v>19</v>
      </c>
      <c r="D911" t="s">
        <v>19</v>
      </c>
      <c r="E911" t="s">
        <v>19</v>
      </c>
      <c r="F911" t="s">
        <v>19</v>
      </c>
      <c r="G911" s="3">
        <f t="shared" ca="1" si="14"/>
        <v>8150</v>
      </c>
    </row>
    <row r="912" spans="1:7" x14ac:dyDescent="0.3">
      <c r="A912">
        <v>910</v>
      </c>
      <c r="B912" t="s">
        <v>520</v>
      </c>
      <c r="C912" t="s">
        <v>7</v>
      </c>
      <c r="D912" t="s">
        <v>231</v>
      </c>
      <c r="E912" t="s">
        <v>232</v>
      </c>
      <c r="F912" t="s">
        <v>10</v>
      </c>
      <c r="G912" s="3">
        <f t="shared" ca="1" si="14"/>
        <v>6601</v>
      </c>
    </row>
    <row r="913" spans="1:7" x14ac:dyDescent="0.3">
      <c r="A913">
        <v>911</v>
      </c>
      <c r="B913" t="s">
        <v>520</v>
      </c>
      <c r="C913" t="s">
        <v>7</v>
      </c>
      <c r="D913" t="s">
        <v>16</v>
      </c>
      <c r="E913" t="s">
        <v>524</v>
      </c>
      <c r="F913" t="s">
        <v>10</v>
      </c>
      <c r="G913" s="3">
        <f t="shared" ca="1" si="14"/>
        <v>6933</v>
      </c>
    </row>
    <row r="914" spans="1:7" x14ac:dyDescent="0.3">
      <c r="A914">
        <v>912</v>
      </c>
      <c r="B914" t="s">
        <v>520</v>
      </c>
      <c r="C914" t="s">
        <v>24</v>
      </c>
      <c r="D914" t="s">
        <v>525</v>
      </c>
      <c r="E914" t="s">
        <v>289</v>
      </c>
      <c r="F914" t="s">
        <v>10</v>
      </c>
      <c r="G914" s="3">
        <f t="shared" ca="1" si="14"/>
        <v>11013</v>
      </c>
    </row>
    <row r="915" spans="1:7" x14ac:dyDescent="0.3">
      <c r="A915">
        <v>913</v>
      </c>
      <c r="B915" t="s">
        <v>520</v>
      </c>
      <c r="C915" t="s">
        <v>7</v>
      </c>
      <c r="D915" t="s">
        <v>91</v>
      </c>
      <c r="E915" t="s">
        <v>510</v>
      </c>
      <c r="F915" t="s">
        <v>10</v>
      </c>
      <c r="G915" s="3">
        <f t="shared" ca="1" si="14"/>
        <v>8696</v>
      </c>
    </row>
    <row r="916" spans="1:7" x14ac:dyDescent="0.3">
      <c r="A916">
        <v>914</v>
      </c>
      <c r="B916" t="s">
        <v>520</v>
      </c>
      <c r="C916" t="s">
        <v>7</v>
      </c>
      <c r="D916" t="s">
        <v>166</v>
      </c>
      <c r="E916" t="s">
        <v>77</v>
      </c>
      <c r="F916" t="s">
        <v>10</v>
      </c>
      <c r="G916" s="3">
        <f t="shared" ca="1" si="14"/>
        <v>6556</v>
      </c>
    </row>
    <row r="917" spans="1:7" x14ac:dyDescent="0.3">
      <c r="A917">
        <v>915</v>
      </c>
      <c r="B917" t="s">
        <v>520</v>
      </c>
      <c r="C917" t="s">
        <v>24</v>
      </c>
      <c r="D917" t="s">
        <v>133</v>
      </c>
      <c r="E917" t="s">
        <v>521</v>
      </c>
      <c r="F917" t="s">
        <v>10</v>
      </c>
      <c r="G917" s="3">
        <f t="shared" ca="1" si="14"/>
        <v>11129</v>
      </c>
    </row>
    <row r="918" spans="1:7" x14ac:dyDescent="0.3">
      <c r="A918">
        <v>916</v>
      </c>
      <c r="B918" t="s">
        <v>520</v>
      </c>
      <c r="C918" t="s">
        <v>7</v>
      </c>
      <c r="D918" t="s">
        <v>122</v>
      </c>
      <c r="E918" t="s">
        <v>19</v>
      </c>
      <c r="F918" t="s">
        <v>19</v>
      </c>
      <c r="G918" s="3">
        <f t="shared" ca="1" si="14"/>
        <v>7653</v>
      </c>
    </row>
    <row r="919" spans="1:7" x14ac:dyDescent="0.3">
      <c r="A919">
        <v>917</v>
      </c>
      <c r="B919" t="s">
        <v>520</v>
      </c>
      <c r="C919" t="s">
        <v>7</v>
      </c>
      <c r="D919" t="s">
        <v>522</v>
      </c>
      <c r="E919" t="s">
        <v>523</v>
      </c>
      <c r="F919" t="s">
        <v>10</v>
      </c>
      <c r="G919" s="3">
        <f t="shared" ca="1" si="14"/>
        <v>9112</v>
      </c>
    </row>
    <row r="920" spans="1:7" x14ac:dyDescent="0.3">
      <c r="A920">
        <v>918</v>
      </c>
      <c r="B920" t="s">
        <v>520</v>
      </c>
      <c r="C920" t="s">
        <v>7</v>
      </c>
      <c r="D920" t="s">
        <v>11</v>
      </c>
      <c r="E920" t="s">
        <v>207</v>
      </c>
      <c r="F920" t="s">
        <v>10</v>
      </c>
      <c r="G920" s="3">
        <f t="shared" ca="1" si="14"/>
        <v>7148</v>
      </c>
    </row>
    <row r="921" spans="1:7" x14ac:dyDescent="0.3">
      <c r="A921">
        <v>919</v>
      </c>
      <c r="B921" t="s">
        <v>520</v>
      </c>
      <c r="C921" t="s">
        <v>7</v>
      </c>
      <c r="D921" t="s">
        <v>91</v>
      </c>
      <c r="E921" t="s">
        <v>510</v>
      </c>
      <c r="F921" t="s">
        <v>10</v>
      </c>
      <c r="G921" s="3">
        <f t="shared" ca="1" si="14"/>
        <v>10368</v>
      </c>
    </row>
    <row r="922" spans="1:7" x14ac:dyDescent="0.3">
      <c r="A922">
        <v>920</v>
      </c>
      <c r="B922" t="s">
        <v>520</v>
      </c>
      <c r="C922" t="s">
        <v>24</v>
      </c>
      <c r="D922" t="s">
        <v>525</v>
      </c>
      <c r="E922" t="s">
        <v>289</v>
      </c>
      <c r="F922" t="s">
        <v>10</v>
      </c>
      <c r="G922" s="3">
        <f t="shared" ca="1" si="14"/>
        <v>9977</v>
      </c>
    </row>
    <row r="923" spans="1:7" x14ac:dyDescent="0.3">
      <c r="A923">
        <v>921</v>
      </c>
      <c r="B923" t="s">
        <v>520</v>
      </c>
      <c r="C923" t="s">
        <v>24</v>
      </c>
      <c r="D923" t="s">
        <v>142</v>
      </c>
      <c r="E923" t="s">
        <v>264</v>
      </c>
      <c r="F923" t="s">
        <v>10</v>
      </c>
      <c r="G923" s="3">
        <f t="shared" ca="1" si="14"/>
        <v>8028</v>
      </c>
    </row>
    <row r="924" spans="1:7" x14ac:dyDescent="0.3">
      <c r="A924">
        <v>922</v>
      </c>
      <c r="B924" t="s">
        <v>520</v>
      </c>
      <c r="C924" t="s">
        <v>7</v>
      </c>
      <c r="D924" t="s">
        <v>16</v>
      </c>
      <c r="E924" t="s">
        <v>524</v>
      </c>
      <c r="F924" t="s">
        <v>10</v>
      </c>
      <c r="G924" s="3">
        <f t="shared" ca="1" si="14"/>
        <v>7433</v>
      </c>
    </row>
    <row r="925" spans="1:7" x14ac:dyDescent="0.3">
      <c r="A925">
        <v>923</v>
      </c>
      <c r="B925" t="s">
        <v>520</v>
      </c>
      <c r="C925" t="s">
        <v>7</v>
      </c>
      <c r="D925" t="s">
        <v>361</v>
      </c>
      <c r="E925" t="s">
        <v>526</v>
      </c>
      <c r="F925" t="s">
        <v>10</v>
      </c>
      <c r="G925" s="3">
        <f t="shared" ca="1" si="14"/>
        <v>11146</v>
      </c>
    </row>
    <row r="926" spans="1:7" x14ac:dyDescent="0.3">
      <c r="A926">
        <v>924</v>
      </c>
      <c r="B926" t="s">
        <v>520</v>
      </c>
      <c r="C926" t="s">
        <v>7</v>
      </c>
      <c r="D926" t="s">
        <v>166</v>
      </c>
      <c r="E926" t="s">
        <v>77</v>
      </c>
      <c r="F926" t="s">
        <v>10</v>
      </c>
      <c r="G926" s="3">
        <f t="shared" ca="1" si="14"/>
        <v>6792</v>
      </c>
    </row>
    <row r="927" spans="1:7" x14ac:dyDescent="0.3">
      <c r="A927">
        <v>925</v>
      </c>
      <c r="B927" t="s">
        <v>520</v>
      </c>
      <c r="C927" t="s">
        <v>24</v>
      </c>
      <c r="D927" t="s">
        <v>133</v>
      </c>
      <c r="E927" t="s">
        <v>521</v>
      </c>
      <c r="F927" t="s">
        <v>10</v>
      </c>
      <c r="G927" s="3">
        <f t="shared" ca="1" si="14"/>
        <v>9946</v>
      </c>
    </row>
    <row r="928" spans="1:7" x14ac:dyDescent="0.3">
      <c r="A928">
        <v>926</v>
      </c>
      <c r="B928" t="s">
        <v>520</v>
      </c>
      <c r="C928" t="s">
        <v>7</v>
      </c>
      <c r="D928" t="s">
        <v>122</v>
      </c>
      <c r="E928" t="s">
        <v>19</v>
      </c>
      <c r="F928" t="s">
        <v>19</v>
      </c>
      <c r="G928" s="3">
        <f t="shared" ca="1" si="14"/>
        <v>8585</v>
      </c>
    </row>
    <row r="929" spans="1:7" x14ac:dyDescent="0.3">
      <c r="A929">
        <v>927</v>
      </c>
      <c r="B929" t="s">
        <v>520</v>
      </c>
      <c r="C929" t="s">
        <v>7</v>
      </c>
      <c r="D929" t="s">
        <v>522</v>
      </c>
      <c r="E929" t="s">
        <v>523</v>
      </c>
      <c r="F929" t="s">
        <v>10</v>
      </c>
      <c r="G929" s="3">
        <f t="shared" ca="1" si="14"/>
        <v>9109</v>
      </c>
    </row>
    <row r="930" spans="1:7" x14ac:dyDescent="0.3">
      <c r="A930">
        <v>928</v>
      </c>
      <c r="B930" t="s">
        <v>520</v>
      </c>
      <c r="C930" t="s">
        <v>7</v>
      </c>
      <c r="D930" t="s">
        <v>11</v>
      </c>
      <c r="E930" t="s">
        <v>207</v>
      </c>
      <c r="F930" t="s">
        <v>10</v>
      </c>
      <c r="G930" s="3">
        <f t="shared" ca="1" si="14"/>
        <v>9262</v>
      </c>
    </row>
    <row r="931" spans="1:7" x14ac:dyDescent="0.3">
      <c r="A931">
        <v>929</v>
      </c>
      <c r="B931" t="s">
        <v>520</v>
      </c>
      <c r="C931" t="s">
        <v>7</v>
      </c>
      <c r="D931" t="s">
        <v>91</v>
      </c>
      <c r="E931" t="s">
        <v>510</v>
      </c>
      <c r="F931" t="s">
        <v>10</v>
      </c>
      <c r="G931" s="3">
        <f t="shared" ca="1" si="14"/>
        <v>11685</v>
      </c>
    </row>
    <row r="932" spans="1:7" x14ac:dyDescent="0.3">
      <c r="A932">
        <v>930</v>
      </c>
      <c r="B932" t="s">
        <v>520</v>
      </c>
      <c r="C932" t="s">
        <v>24</v>
      </c>
      <c r="D932" t="s">
        <v>525</v>
      </c>
      <c r="E932" t="s">
        <v>289</v>
      </c>
      <c r="F932" t="s">
        <v>10</v>
      </c>
      <c r="G932" s="3">
        <f t="shared" ca="1" si="14"/>
        <v>10997</v>
      </c>
    </row>
    <row r="933" spans="1:7" x14ac:dyDescent="0.3">
      <c r="A933">
        <v>931</v>
      </c>
      <c r="B933" t="s">
        <v>520</v>
      </c>
      <c r="C933" t="s">
        <v>24</v>
      </c>
      <c r="D933" t="s">
        <v>142</v>
      </c>
      <c r="E933" t="s">
        <v>264</v>
      </c>
      <c r="F933" t="s">
        <v>10</v>
      </c>
      <c r="G933" s="3">
        <f t="shared" ca="1" si="14"/>
        <v>6770</v>
      </c>
    </row>
    <row r="934" spans="1:7" x14ac:dyDescent="0.3">
      <c r="A934">
        <v>932</v>
      </c>
      <c r="B934" t="s">
        <v>520</v>
      </c>
      <c r="C934" t="s">
        <v>7</v>
      </c>
      <c r="D934" t="s">
        <v>16</v>
      </c>
      <c r="E934" t="s">
        <v>524</v>
      </c>
      <c r="F934" t="s">
        <v>10</v>
      </c>
      <c r="G934" s="3">
        <f t="shared" ca="1" si="14"/>
        <v>8347</v>
      </c>
    </row>
    <row r="935" spans="1:7" x14ac:dyDescent="0.3">
      <c r="A935">
        <v>933</v>
      </c>
      <c r="B935" t="s">
        <v>520</v>
      </c>
      <c r="C935" t="s">
        <v>7</v>
      </c>
      <c r="D935" t="s">
        <v>361</v>
      </c>
      <c r="E935" t="s">
        <v>526</v>
      </c>
      <c r="F935" t="s">
        <v>10</v>
      </c>
      <c r="G935" s="3">
        <f t="shared" ca="1" si="14"/>
        <v>11378</v>
      </c>
    </row>
    <row r="936" spans="1:7" x14ac:dyDescent="0.3">
      <c r="A936">
        <v>934</v>
      </c>
      <c r="B936" t="s">
        <v>520</v>
      </c>
      <c r="C936" t="s">
        <v>7</v>
      </c>
      <c r="D936" t="s">
        <v>91</v>
      </c>
      <c r="E936" t="s">
        <v>510</v>
      </c>
      <c r="F936" t="s">
        <v>10</v>
      </c>
      <c r="G936" s="3">
        <f t="shared" ca="1" si="14"/>
        <v>8832</v>
      </c>
    </row>
    <row r="937" spans="1:7" x14ac:dyDescent="0.3">
      <c r="A937">
        <v>935</v>
      </c>
      <c r="B937" t="s">
        <v>520</v>
      </c>
      <c r="C937" t="s">
        <v>13</v>
      </c>
      <c r="D937" t="s">
        <v>91</v>
      </c>
      <c r="E937" t="s">
        <v>156</v>
      </c>
      <c r="F937" t="s">
        <v>19</v>
      </c>
      <c r="G937" s="3">
        <f t="shared" ca="1" si="14"/>
        <v>10431</v>
      </c>
    </row>
    <row r="938" spans="1:7" x14ac:dyDescent="0.3">
      <c r="A938">
        <v>936</v>
      </c>
      <c r="B938" t="s">
        <v>520</v>
      </c>
      <c r="C938" t="s">
        <v>7</v>
      </c>
      <c r="D938" t="s">
        <v>527</v>
      </c>
      <c r="E938" t="s">
        <v>528</v>
      </c>
      <c r="F938" t="s">
        <v>10</v>
      </c>
      <c r="G938" s="3">
        <f t="shared" ca="1" si="14"/>
        <v>8966</v>
      </c>
    </row>
    <row r="939" spans="1:7" x14ac:dyDescent="0.3">
      <c r="A939">
        <v>937</v>
      </c>
      <c r="B939" t="s">
        <v>520</v>
      </c>
      <c r="C939" t="s">
        <v>7</v>
      </c>
      <c r="D939" t="s">
        <v>529</v>
      </c>
      <c r="E939" t="s">
        <v>528</v>
      </c>
      <c r="F939" t="s">
        <v>10</v>
      </c>
      <c r="G939" s="3">
        <f t="shared" ca="1" si="14"/>
        <v>11825</v>
      </c>
    </row>
    <row r="940" spans="1:7" x14ac:dyDescent="0.3">
      <c r="A940">
        <v>938</v>
      </c>
      <c r="B940" t="s">
        <v>520</v>
      </c>
      <c r="C940" t="s">
        <v>24</v>
      </c>
      <c r="D940" t="s">
        <v>525</v>
      </c>
      <c r="E940" t="s">
        <v>289</v>
      </c>
      <c r="F940" t="s">
        <v>10</v>
      </c>
      <c r="G940" s="3">
        <f t="shared" ca="1" si="14"/>
        <v>10931</v>
      </c>
    </row>
    <row r="941" spans="1:7" x14ac:dyDescent="0.3">
      <c r="A941">
        <v>939</v>
      </c>
      <c r="B941" t="s">
        <v>520</v>
      </c>
      <c r="C941" t="s">
        <v>13</v>
      </c>
      <c r="D941" t="s">
        <v>16</v>
      </c>
      <c r="E941" t="s">
        <v>19</v>
      </c>
      <c r="F941" t="s">
        <v>10</v>
      </c>
      <c r="G941" s="3">
        <f t="shared" ca="1" si="14"/>
        <v>11856</v>
      </c>
    </row>
    <row r="942" spans="1:7" x14ac:dyDescent="0.3">
      <c r="A942">
        <v>940</v>
      </c>
      <c r="B942" t="s">
        <v>520</v>
      </c>
      <c r="C942" t="s">
        <v>7</v>
      </c>
      <c r="D942" t="s">
        <v>16</v>
      </c>
      <c r="E942" t="s">
        <v>524</v>
      </c>
      <c r="F942" t="s">
        <v>10</v>
      </c>
      <c r="G942" s="3">
        <f t="shared" ca="1" si="14"/>
        <v>9841</v>
      </c>
    </row>
    <row r="943" spans="1:7" x14ac:dyDescent="0.3">
      <c r="A943">
        <v>941</v>
      </c>
      <c r="B943" t="s">
        <v>520</v>
      </c>
      <c r="C943" t="s">
        <v>7</v>
      </c>
      <c r="D943" t="s">
        <v>452</v>
      </c>
      <c r="E943" t="s">
        <v>26</v>
      </c>
      <c r="F943" t="s">
        <v>10</v>
      </c>
      <c r="G943" s="3">
        <f t="shared" ca="1" si="14"/>
        <v>7948</v>
      </c>
    </row>
    <row r="944" spans="1:7" x14ac:dyDescent="0.3">
      <c r="A944">
        <v>942</v>
      </c>
      <c r="B944" t="s">
        <v>520</v>
      </c>
      <c r="C944" t="s">
        <v>24</v>
      </c>
      <c r="D944" t="s">
        <v>525</v>
      </c>
      <c r="E944" t="s">
        <v>289</v>
      </c>
      <c r="F944" t="s">
        <v>10</v>
      </c>
      <c r="G944" s="3">
        <f t="shared" ca="1" si="14"/>
        <v>11855</v>
      </c>
    </row>
    <row r="945" spans="1:7" x14ac:dyDescent="0.3">
      <c r="A945">
        <v>943</v>
      </c>
      <c r="B945" t="s">
        <v>520</v>
      </c>
      <c r="C945" t="s">
        <v>13</v>
      </c>
      <c r="D945" t="s">
        <v>119</v>
      </c>
      <c r="E945" t="s">
        <v>19</v>
      </c>
      <c r="F945" t="s">
        <v>10</v>
      </c>
      <c r="G945" s="3">
        <f t="shared" ca="1" si="14"/>
        <v>9588</v>
      </c>
    </row>
    <row r="946" spans="1:7" x14ac:dyDescent="0.3">
      <c r="A946">
        <v>944</v>
      </c>
      <c r="B946" t="s">
        <v>520</v>
      </c>
      <c r="C946" t="s">
        <v>7</v>
      </c>
      <c r="D946" t="s">
        <v>91</v>
      </c>
      <c r="E946" t="s">
        <v>510</v>
      </c>
      <c r="F946" t="s">
        <v>10</v>
      </c>
      <c r="G946" s="3">
        <f t="shared" ca="1" si="14"/>
        <v>9874</v>
      </c>
    </row>
    <row r="947" spans="1:7" x14ac:dyDescent="0.3">
      <c r="A947">
        <v>945</v>
      </c>
      <c r="B947" t="s">
        <v>520</v>
      </c>
      <c r="C947" t="s">
        <v>13</v>
      </c>
      <c r="D947" t="s">
        <v>91</v>
      </c>
      <c r="E947" t="s">
        <v>156</v>
      </c>
      <c r="F947" t="s">
        <v>19</v>
      </c>
      <c r="G947" s="3">
        <f t="shared" ca="1" si="14"/>
        <v>8253</v>
      </c>
    </row>
    <row r="948" spans="1:7" x14ac:dyDescent="0.3">
      <c r="A948">
        <v>946</v>
      </c>
      <c r="B948" t="s">
        <v>520</v>
      </c>
      <c r="C948" t="s">
        <v>7</v>
      </c>
      <c r="D948" t="s">
        <v>527</v>
      </c>
      <c r="E948" t="s">
        <v>528</v>
      </c>
      <c r="F948" t="s">
        <v>10</v>
      </c>
      <c r="G948" s="3">
        <f t="shared" ca="1" si="14"/>
        <v>11416</v>
      </c>
    </row>
    <row r="949" spans="1:7" x14ac:dyDescent="0.3">
      <c r="A949">
        <v>947</v>
      </c>
      <c r="B949" t="s">
        <v>520</v>
      </c>
      <c r="C949" t="s">
        <v>7</v>
      </c>
      <c r="D949" t="s">
        <v>529</v>
      </c>
      <c r="E949" t="s">
        <v>528</v>
      </c>
      <c r="F949" t="s">
        <v>10</v>
      </c>
      <c r="G949" s="3">
        <f t="shared" ca="1" si="14"/>
        <v>11538</v>
      </c>
    </row>
    <row r="950" spans="1:7" x14ac:dyDescent="0.3">
      <c r="A950">
        <v>948</v>
      </c>
      <c r="B950" t="s">
        <v>520</v>
      </c>
      <c r="C950" t="s">
        <v>24</v>
      </c>
      <c r="D950" t="s">
        <v>525</v>
      </c>
      <c r="E950" t="s">
        <v>289</v>
      </c>
      <c r="F950" t="s">
        <v>10</v>
      </c>
      <c r="G950" s="3">
        <f t="shared" ca="1" si="14"/>
        <v>7920</v>
      </c>
    </row>
    <row r="951" spans="1:7" x14ac:dyDescent="0.3">
      <c r="A951">
        <v>949</v>
      </c>
      <c r="B951" t="s">
        <v>520</v>
      </c>
      <c r="C951" t="s">
        <v>13</v>
      </c>
      <c r="D951" t="s">
        <v>16</v>
      </c>
      <c r="E951" t="s">
        <v>19</v>
      </c>
      <c r="F951" t="s">
        <v>10</v>
      </c>
      <c r="G951" s="3">
        <f t="shared" ca="1" si="14"/>
        <v>9900</v>
      </c>
    </row>
    <row r="952" spans="1:7" x14ac:dyDescent="0.3">
      <c r="A952">
        <v>950</v>
      </c>
      <c r="B952" t="s">
        <v>520</v>
      </c>
      <c r="C952" t="s">
        <v>7</v>
      </c>
      <c r="D952" t="s">
        <v>16</v>
      </c>
      <c r="E952" t="s">
        <v>524</v>
      </c>
      <c r="F952" t="s">
        <v>10</v>
      </c>
      <c r="G952" s="3">
        <f t="shared" ca="1" si="14"/>
        <v>7308</v>
      </c>
    </row>
    <row r="953" spans="1:7" x14ac:dyDescent="0.3">
      <c r="A953">
        <v>951</v>
      </c>
      <c r="B953" t="s">
        <v>520</v>
      </c>
      <c r="C953" t="s">
        <v>7</v>
      </c>
      <c r="D953" t="s">
        <v>452</v>
      </c>
      <c r="E953" t="s">
        <v>26</v>
      </c>
      <c r="F953" t="s">
        <v>10</v>
      </c>
      <c r="G953" s="3">
        <f t="shared" ca="1" si="14"/>
        <v>11195</v>
      </c>
    </row>
    <row r="954" spans="1:7" x14ac:dyDescent="0.3">
      <c r="A954">
        <v>952</v>
      </c>
      <c r="B954" t="s">
        <v>520</v>
      </c>
      <c r="C954" t="s">
        <v>24</v>
      </c>
      <c r="D954" t="s">
        <v>525</v>
      </c>
      <c r="E954" t="s">
        <v>289</v>
      </c>
      <c r="F954" t="s">
        <v>10</v>
      </c>
      <c r="G954" s="3">
        <f t="shared" ca="1" si="14"/>
        <v>9089</v>
      </c>
    </row>
    <row r="955" spans="1:7" x14ac:dyDescent="0.3">
      <c r="A955">
        <v>953</v>
      </c>
      <c r="B955" t="s">
        <v>520</v>
      </c>
      <c r="C955" t="s">
        <v>13</v>
      </c>
      <c r="D955" t="s">
        <v>119</v>
      </c>
      <c r="E955" t="s">
        <v>19</v>
      </c>
      <c r="F955" t="s">
        <v>10</v>
      </c>
      <c r="G955" s="3">
        <f t="shared" ca="1" si="14"/>
        <v>9183</v>
      </c>
    </row>
    <row r="956" spans="1:7" x14ac:dyDescent="0.3">
      <c r="A956">
        <v>954</v>
      </c>
      <c r="B956" t="s">
        <v>520</v>
      </c>
      <c r="C956" t="s">
        <v>13</v>
      </c>
      <c r="D956" t="s">
        <v>140</v>
      </c>
      <c r="E956" t="s">
        <v>454</v>
      </c>
      <c r="F956" t="s">
        <v>10</v>
      </c>
      <c r="G956" s="3">
        <f t="shared" ca="1" si="14"/>
        <v>9882</v>
      </c>
    </row>
    <row r="957" spans="1:7" x14ac:dyDescent="0.3">
      <c r="A957">
        <v>955</v>
      </c>
      <c r="B957" t="s">
        <v>520</v>
      </c>
      <c r="C957" t="s">
        <v>7</v>
      </c>
      <c r="D957" t="s">
        <v>22</v>
      </c>
      <c r="E957" t="s">
        <v>19</v>
      </c>
      <c r="F957" t="s">
        <v>31</v>
      </c>
      <c r="G957" s="3">
        <f t="shared" ca="1" si="14"/>
        <v>10766</v>
      </c>
    </row>
    <row r="958" spans="1:7" x14ac:dyDescent="0.3">
      <c r="A958">
        <v>956</v>
      </c>
      <c r="B958" t="s">
        <v>520</v>
      </c>
      <c r="C958" t="s">
        <v>7</v>
      </c>
      <c r="D958" t="s">
        <v>19</v>
      </c>
      <c r="E958" t="s">
        <v>264</v>
      </c>
      <c r="F958" t="s">
        <v>10</v>
      </c>
      <c r="G958" s="3">
        <f t="shared" ca="1" si="14"/>
        <v>9669</v>
      </c>
    </row>
    <row r="959" spans="1:7" x14ac:dyDescent="0.3">
      <c r="A959">
        <v>957</v>
      </c>
      <c r="B959" t="s">
        <v>520</v>
      </c>
      <c r="C959" t="s">
        <v>24</v>
      </c>
      <c r="D959" t="s">
        <v>133</v>
      </c>
      <c r="E959" t="s">
        <v>521</v>
      </c>
      <c r="F959" t="s">
        <v>10</v>
      </c>
      <c r="G959" s="3">
        <f t="shared" ca="1" si="14"/>
        <v>7639</v>
      </c>
    </row>
    <row r="960" spans="1:7" x14ac:dyDescent="0.3">
      <c r="A960">
        <v>958</v>
      </c>
      <c r="B960" t="s">
        <v>520</v>
      </c>
      <c r="C960" t="s">
        <v>7</v>
      </c>
      <c r="D960" t="s">
        <v>22</v>
      </c>
      <c r="E960" t="s">
        <v>530</v>
      </c>
      <c r="F960" t="s">
        <v>10</v>
      </c>
      <c r="G960" s="3">
        <f t="shared" ca="1" si="14"/>
        <v>10819</v>
      </c>
    </row>
    <row r="961" spans="1:7" x14ac:dyDescent="0.3">
      <c r="A961">
        <v>959</v>
      </c>
      <c r="B961" t="s">
        <v>520</v>
      </c>
      <c r="C961" t="s">
        <v>7</v>
      </c>
      <c r="D961" t="s">
        <v>95</v>
      </c>
      <c r="E961" t="s">
        <v>206</v>
      </c>
      <c r="F961" t="s">
        <v>10</v>
      </c>
      <c r="G961" s="3">
        <f t="shared" ca="1" si="14"/>
        <v>6963</v>
      </c>
    </row>
    <row r="962" spans="1:7" x14ac:dyDescent="0.3">
      <c r="A962">
        <v>960</v>
      </c>
      <c r="B962" t="s">
        <v>520</v>
      </c>
      <c r="C962" t="s">
        <v>24</v>
      </c>
      <c r="D962" t="s">
        <v>133</v>
      </c>
      <c r="E962" t="s">
        <v>521</v>
      </c>
      <c r="F962" t="s">
        <v>10</v>
      </c>
      <c r="G962" s="3">
        <f t="shared" ref="G962:G1025" ca="1" si="15">RANDBETWEEN(6500,12000)</f>
        <v>7263</v>
      </c>
    </row>
    <row r="963" spans="1:7" x14ac:dyDescent="0.3">
      <c r="A963">
        <v>961</v>
      </c>
      <c r="B963" t="s">
        <v>520</v>
      </c>
      <c r="C963" t="s">
        <v>13</v>
      </c>
      <c r="D963" t="s">
        <v>398</v>
      </c>
      <c r="E963" t="s">
        <v>521</v>
      </c>
      <c r="F963" t="s">
        <v>10</v>
      </c>
      <c r="G963" s="3">
        <f t="shared" ca="1" si="15"/>
        <v>9985</v>
      </c>
    </row>
    <row r="964" spans="1:7" x14ac:dyDescent="0.3">
      <c r="A964">
        <v>962</v>
      </c>
      <c r="B964" t="s">
        <v>520</v>
      </c>
      <c r="C964" t="s">
        <v>7</v>
      </c>
      <c r="D964" t="s">
        <v>531</v>
      </c>
      <c r="E964" t="s">
        <v>206</v>
      </c>
      <c r="F964" t="s">
        <v>10</v>
      </c>
      <c r="G964" s="3">
        <f t="shared" ca="1" si="15"/>
        <v>7299</v>
      </c>
    </row>
    <row r="965" spans="1:7" x14ac:dyDescent="0.3">
      <c r="A965">
        <v>963</v>
      </c>
      <c r="B965" t="s">
        <v>520</v>
      </c>
      <c r="C965" t="s">
        <v>13</v>
      </c>
      <c r="D965" t="s">
        <v>532</v>
      </c>
      <c r="E965" t="s">
        <v>206</v>
      </c>
      <c r="F965" t="s">
        <v>19</v>
      </c>
      <c r="G965" s="3">
        <f t="shared" ca="1" si="15"/>
        <v>9619</v>
      </c>
    </row>
    <row r="966" spans="1:7" x14ac:dyDescent="0.3">
      <c r="A966">
        <v>964</v>
      </c>
      <c r="B966" t="s">
        <v>520</v>
      </c>
      <c r="C966" t="s">
        <v>13</v>
      </c>
      <c r="D966" t="s">
        <v>140</v>
      </c>
      <c r="E966" t="s">
        <v>454</v>
      </c>
      <c r="F966" t="s">
        <v>10</v>
      </c>
      <c r="G966" s="3">
        <f t="shared" ca="1" si="15"/>
        <v>7469</v>
      </c>
    </row>
    <row r="967" spans="1:7" x14ac:dyDescent="0.3">
      <c r="A967">
        <v>965</v>
      </c>
      <c r="B967" t="s">
        <v>520</v>
      </c>
      <c r="C967" t="s">
        <v>7</v>
      </c>
      <c r="D967" t="s">
        <v>22</v>
      </c>
      <c r="E967" t="s">
        <v>19</v>
      </c>
      <c r="F967" t="s">
        <v>31</v>
      </c>
      <c r="G967" s="3">
        <f t="shared" ca="1" si="15"/>
        <v>8207</v>
      </c>
    </row>
    <row r="968" spans="1:7" x14ac:dyDescent="0.3">
      <c r="A968">
        <v>966</v>
      </c>
      <c r="B968" t="s">
        <v>520</v>
      </c>
      <c r="C968" t="s">
        <v>7</v>
      </c>
      <c r="D968" t="s">
        <v>19</v>
      </c>
      <c r="E968" t="s">
        <v>264</v>
      </c>
      <c r="F968" t="s">
        <v>10</v>
      </c>
      <c r="G968" s="3">
        <f t="shared" ca="1" si="15"/>
        <v>10022</v>
      </c>
    </row>
    <row r="969" spans="1:7" x14ac:dyDescent="0.3">
      <c r="A969">
        <v>967</v>
      </c>
      <c r="B969" t="s">
        <v>520</v>
      </c>
      <c r="C969" t="s">
        <v>24</v>
      </c>
      <c r="D969" t="s">
        <v>133</v>
      </c>
      <c r="E969" t="s">
        <v>521</v>
      </c>
      <c r="F969" t="s">
        <v>10</v>
      </c>
      <c r="G969" s="3">
        <f t="shared" ca="1" si="15"/>
        <v>8544</v>
      </c>
    </row>
    <row r="970" spans="1:7" x14ac:dyDescent="0.3">
      <c r="A970">
        <v>968</v>
      </c>
      <c r="B970" t="s">
        <v>520</v>
      </c>
      <c r="C970" t="s">
        <v>7</v>
      </c>
      <c r="D970" t="s">
        <v>22</v>
      </c>
      <c r="E970" t="s">
        <v>530</v>
      </c>
      <c r="F970" t="s">
        <v>10</v>
      </c>
      <c r="G970" s="3">
        <f t="shared" ca="1" si="15"/>
        <v>11531</v>
      </c>
    </row>
    <row r="971" spans="1:7" x14ac:dyDescent="0.3">
      <c r="A971">
        <v>969</v>
      </c>
      <c r="B971" t="s">
        <v>520</v>
      </c>
      <c r="C971" t="s">
        <v>7</v>
      </c>
      <c r="D971" t="s">
        <v>95</v>
      </c>
      <c r="E971" t="s">
        <v>206</v>
      </c>
      <c r="F971" t="s">
        <v>10</v>
      </c>
      <c r="G971" s="3">
        <f t="shared" ca="1" si="15"/>
        <v>11449</v>
      </c>
    </row>
    <row r="972" spans="1:7" x14ac:dyDescent="0.3">
      <c r="A972">
        <v>970</v>
      </c>
      <c r="B972" t="s">
        <v>520</v>
      </c>
      <c r="C972" t="s">
        <v>24</v>
      </c>
      <c r="D972" t="s">
        <v>133</v>
      </c>
      <c r="E972" t="s">
        <v>521</v>
      </c>
      <c r="F972" t="s">
        <v>10</v>
      </c>
      <c r="G972" s="3">
        <f t="shared" ca="1" si="15"/>
        <v>8652</v>
      </c>
    </row>
    <row r="973" spans="1:7" x14ac:dyDescent="0.3">
      <c r="A973">
        <v>971</v>
      </c>
      <c r="B973" t="s">
        <v>520</v>
      </c>
      <c r="C973" t="s">
        <v>13</v>
      </c>
      <c r="D973" t="s">
        <v>398</v>
      </c>
      <c r="E973" t="s">
        <v>521</v>
      </c>
      <c r="F973" t="s">
        <v>10</v>
      </c>
      <c r="G973" s="3">
        <f t="shared" ca="1" si="15"/>
        <v>8153</v>
      </c>
    </row>
    <row r="974" spans="1:7" x14ac:dyDescent="0.3">
      <c r="A974">
        <v>972</v>
      </c>
      <c r="B974" t="s">
        <v>520</v>
      </c>
      <c r="C974" t="s">
        <v>7</v>
      </c>
      <c r="D974" t="s">
        <v>531</v>
      </c>
      <c r="E974" t="s">
        <v>206</v>
      </c>
      <c r="F974" t="s">
        <v>10</v>
      </c>
      <c r="G974" s="3">
        <f t="shared" ca="1" si="15"/>
        <v>7784</v>
      </c>
    </row>
    <row r="975" spans="1:7" x14ac:dyDescent="0.3">
      <c r="A975">
        <v>973</v>
      </c>
      <c r="B975" t="s">
        <v>520</v>
      </c>
      <c r="C975" t="s">
        <v>13</v>
      </c>
      <c r="D975" t="s">
        <v>532</v>
      </c>
      <c r="E975" t="s">
        <v>206</v>
      </c>
      <c r="F975" t="s">
        <v>19</v>
      </c>
      <c r="G975" s="3">
        <f t="shared" ca="1" si="15"/>
        <v>11913</v>
      </c>
    </row>
    <row r="976" spans="1:7" x14ac:dyDescent="0.3">
      <c r="A976">
        <v>974</v>
      </c>
      <c r="B976" t="s">
        <v>520</v>
      </c>
      <c r="C976" t="s">
        <v>7</v>
      </c>
      <c r="D976" t="s">
        <v>115</v>
      </c>
      <c r="E976" t="s">
        <v>323</v>
      </c>
      <c r="F976" t="s">
        <v>10</v>
      </c>
      <c r="G976" s="3">
        <f t="shared" ca="1" si="15"/>
        <v>10105</v>
      </c>
    </row>
    <row r="977" spans="1:7" x14ac:dyDescent="0.3">
      <c r="A977">
        <v>975</v>
      </c>
      <c r="B977" t="s">
        <v>520</v>
      </c>
      <c r="C977" t="s">
        <v>7</v>
      </c>
      <c r="D977" t="s">
        <v>19</v>
      </c>
      <c r="E977" t="s">
        <v>19</v>
      </c>
      <c r="F977" t="s">
        <v>19</v>
      </c>
      <c r="G977" s="3">
        <f t="shared" ca="1" si="15"/>
        <v>8442</v>
      </c>
    </row>
    <row r="978" spans="1:7" x14ac:dyDescent="0.3">
      <c r="A978">
        <v>976</v>
      </c>
      <c r="B978" t="s">
        <v>520</v>
      </c>
      <c r="C978" t="s">
        <v>7</v>
      </c>
      <c r="D978" t="s">
        <v>522</v>
      </c>
      <c r="E978" t="s">
        <v>523</v>
      </c>
      <c r="F978" t="s">
        <v>10</v>
      </c>
      <c r="G978" s="3">
        <f t="shared" ca="1" si="15"/>
        <v>7814</v>
      </c>
    </row>
    <row r="979" spans="1:7" x14ac:dyDescent="0.3">
      <c r="A979">
        <v>977</v>
      </c>
      <c r="B979" t="s">
        <v>520</v>
      </c>
      <c r="C979" t="s">
        <v>13</v>
      </c>
      <c r="D979" t="s">
        <v>219</v>
      </c>
      <c r="E979" t="s">
        <v>528</v>
      </c>
      <c r="F979" t="s">
        <v>10</v>
      </c>
      <c r="G979" s="3">
        <f t="shared" ca="1" si="15"/>
        <v>8188</v>
      </c>
    </row>
    <row r="980" spans="1:7" x14ac:dyDescent="0.3">
      <c r="A980">
        <v>978</v>
      </c>
      <c r="B980" t="s">
        <v>520</v>
      </c>
      <c r="C980" t="s">
        <v>7</v>
      </c>
      <c r="D980" t="s">
        <v>533</v>
      </c>
      <c r="E980" t="s">
        <v>534</v>
      </c>
      <c r="F980" t="s">
        <v>10</v>
      </c>
      <c r="G980" s="3">
        <f t="shared" ca="1" si="15"/>
        <v>10919</v>
      </c>
    </row>
    <row r="981" spans="1:7" x14ac:dyDescent="0.3">
      <c r="A981">
        <v>979</v>
      </c>
      <c r="B981" t="s">
        <v>520</v>
      </c>
      <c r="C981" t="s">
        <v>7</v>
      </c>
      <c r="D981" t="s">
        <v>522</v>
      </c>
      <c r="E981" t="s">
        <v>523</v>
      </c>
      <c r="F981" t="s">
        <v>10</v>
      </c>
      <c r="G981" s="3">
        <f t="shared" ca="1" si="15"/>
        <v>7878</v>
      </c>
    </row>
    <row r="982" spans="1:7" x14ac:dyDescent="0.3">
      <c r="A982">
        <v>980</v>
      </c>
      <c r="B982" t="s">
        <v>520</v>
      </c>
      <c r="C982" t="s">
        <v>7</v>
      </c>
      <c r="D982" t="s">
        <v>361</v>
      </c>
      <c r="E982" t="s">
        <v>526</v>
      </c>
      <c r="F982" t="s">
        <v>10</v>
      </c>
      <c r="G982" s="3">
        <f t="shared" ca="1" si="15"/>
        <v>7760</v>
      </c>
    </row>
    <row r="983" spans="1:7" x14ac:dyDescent="0.3">
      <c r="A983">
        <v>981</v>
      </c>
      <c r="B983" t="s">
        <v>520</v>
      </c>
      <c r="C983" t="s">
        <v>19</v>
      </c>
      <c r="D983" t="s">
        <v>19</v>
      </c>
      <c r="E983" t="s">
        <v>19</v>
      </c>
      <c r="F983" t="s">
        <v>19</v>
      </c>
      <c r="G983" s="3">
        <f t="shared" ca="1" si="15"/>
        <v>9506</v>
      </c>
    </row>
    <row r="984" spans="1:7" x14ac:dyDescent="0.3">
      <c r="A984">
        <v>982</v>
      </c>
      <c r="B984" t="s">
        <v>520</v>
      </c>
      <c r="C984" t="s">
        <v>7</v>
      </c>
      <c r="D984" t="s">
        <v>522</v>
      </c>
      <c r="E984" t="s">
        <v>523</v>
      </c>
      <c r="F984" t="s">
        <v>10</v>
      </c>
      <c r="G984" s="3">
        <f t="shared" ca="1" si="15"/>
        <v>7906</v>
      </c>
    </row>
    <row r="985" spans="1:7" x14ac:dyDescent="0.3">
      <c r="A985">
        <v>983</v>
      </c>
      <c r="B985" t="s">
        <v>520</v>
      </c>
      <c r="C985" t="s">
        <v>7</v>
      </c>
      <c r="D985" t="s">
        <v>535</v>
      </c>
      <c r="E985" t="s">
        <v>534</v>
      </c>
      <c r="F985" t="s">
        <v>10</v>
      </c>
      <c r="G985" s="3">
        <f t="shared" ca="1" si="15"/>
        <v>6754</v>
      </c>
    </row>
    <row r="986" spans="1:7" x14ac:dyDescent="0.3">
      <c r="A986">
        <v>984</v>
      </c>
      <c r="B986" t="s">
        <v>520</v>
      </c>
      <c r="C986" t="s">
        <v>7</v>
      </c>
      <c r="D986" t="s">
        <v>115</v>
      </c>
      <c r="E986" t="s">
        <v>323</v>
      </c>
      <c r="F986" t="s">
        <v>10</v>
      </c>
      <c r="G986" s="3">
        <f t="shared" ca="1" si="15"/>
        <v>11239</v>
      </c>
    </row>
    <row r="987" spans="1:7" x14ac:dyDescent="0.3">
      <c r="A987">
        <v>985</v>
      </c>
      <c r="B987" t="s">
        <v>520</v>
      </c>
      <c r="C987" t="s">
        <v>7</v>
      </c>
      <c r="D987" t="s">
        <v>19</v>
      </c>
      <c r="E987" t="s">
        <v>19</v>
      </c>
      <c r="F987" t="s">
        <v>19</v>
      </c>
      <c r="G987" s="3">
        <f t="shared" ca="1" si="15"/>
        <v>11931</v>
      </c>
    </row>
    <row r="988" spans="1:7" x14ac:dyDescent="0.3">
      <c r="A988">
        <v>986</v>
      </c>
      <c r="B988" t="s">
        <v>520</v>
      </c>
      <c r="C988" t="s">
        <v>7</v>
      </c>
      <c r="D988" t="s">
        <v>522</v>
      </c>
      <c r="E988" t="s">
        <v>523</v>
      </c>
      <c r="F988" t="s">
        <v>10</v>
      </c>
      <c r="G988" s="3">
        <f t="shared" ca="1" si="15"/>
        <v>8286</v>
      </c>
    </row>
    <row r="989" spans="1:7" x14ac:dyDescent="0.3">
      <c r="A989">
        <v>987</v>
      </c>
      <c r="B989" t="s">
        <v>520</v>
      </c>
      <c r="C989" t="s">
        <v>13</v>
      </c>
      <c r="D989" t="s">
        <v>219</v>
      </c>
      <c r="E989" t="s">
        <v>528</v>
      </c>
      <c r="F989" t="s">
        <v>10</v>
      </c>
      <c r="G989" s="3">
        <f t="shared" ca="1" si="15"/>
        <v>7276</v>
      </c>
    </row>
    <row r="990" spans="1:7" x14ac:dyDescent="0.3">
      <c r="A990">
        <v>988</v>
      </c>
      <c r="B990" t="s">
        <v>520</v>
      </c>
      <c r="C990" t="s">
        <v>19</v>
      </c>
      <c r="D990" t="s">
        <v>533</v>
      </c>
      <c r="E990" t="s">
        <v>534</v>
      </c>
      <c r="F990" t="s">
        <v>10</v>
      </c>
      <c r="G990" s="3">
        <f t="shared" ca="1" si="15"/>
        <v>9556</v>
      </c>
    </row>
    <row r="991" spans="1:7" x14ac:dyDescent="0.3">
      <c r="A991">
        <v>989</v>
      </c>
      <c r="B991" t="s">
        <v>520</v>
      </c>
      <c r="C991" t="s">
        <v>7</v>
      </c>
      <c r="D991" t="s">
        <v>522</v>
      </c>
      <c r="E991" t="s">
        <v>523</v>
      </c>
      <c r="F991" t="s">
        <v>10</v>
      </c>
      <c r="G991" s="3">
        <f t="shared" ca="1" si="15"/>
        <v>9586</v>
      </c>
    </row>
    <row r="992" spans="1:7" x14ac:dyDescent="0.3">
      <c r="A992">
        <v>990</v>
      </c>
      <c r="B992" t="s">
        <v>520</v>
      </c>
      <c r="C992" t="s">
        <v>7</v>
      </c>
      <c r="D992" t="s">
        <v>361</v>
      </c>
      <c r="E992" t="s">
        <v>526</v>
      </c>
      <c r="F992" t="s">
        <v>10</v>
      </c>
      <c r="G992" s="3">
        <f t="shared" ca="1" si="15"/>
        <v>10176</v>
      </c>
    </row>
    <row r="993" spans="1:7" x14ac:dyDescent="0.3">
      <c r="A993">
        <v>991</v>
      </c>
      <c r="B993" t="s">
        <v>520</v>
      </c>
      <c r="C993" t="s">
        <v>19</v>
      </c>
      <c r="D993" t="s">
        <v>19</v>
      </c>
      <c r="E993" t="s">
        <v>19</v>
      </c>
      <c r="F993" t="s">
        <v>19</v>
      </c>
      <c r="G993" s="3">
        <f t="shared" ca="1" si="15"/>
        <v>9312</v>
      </c>
    </row>
    <row r="994" spans="1:7" x14ac:dyDescent="0.3">
      <c r="A994">
        <v>992</v>
      </c>
      <c r="B994" t="s">
        <v>520</v>
      </c>
      <c r="C994" t="s">
        <v>7</v>
      </c>
      <c r="D994" t="s">
        <v>522</v>
      </c>
      <c r="E994" t="s">
        <v>523</v>
      </c>
      <c r="F994" t="s">
        <v>10</v>
      </c>
      <c r="G994" s="3">
        <f t="shared" ca="1" si="15"/>
        <v>9111</v>
      </c>
    </row>
    <row r="995" spans="1:7" x14ac:dyDescent="0.3">
      <c r="A995">
        <v>993</v>
      </c>
      <c r="B995" t="s">
        <v>520</v>
      </c>
      <c r="C995" t="s">
        <v>7</v>
      </c>
      <c r="D995" t="s">
        <v>535</v>
      </c>
      <c r="E995" t="s">
        <v>534</v>
      </c>
      <c r="F995" t="s">
        <v>10</v>
      </c>
      <c r="G995" s="3">
        <f t="shared" ca="1" si="15"/>
        <v>11472</v>
      </c>
    </row>
    <row r="996" spans="1:7" x14ac:dyDescent="0.3">
      <c r="A996">
        <v>994</v>
      </c>
      <c r="B996" t="s">
        <v>520</v>
      </c>
      <c r="C996" t="s">
        <v>24</v>
      </c>
      <c r="D996" t="s">
        <v>214</v>
      </c>
      <c r="E996" t="s">
        <v>180</v>
      </c>
      <c r="F996" t="s">
        <v>10</v>
      </c>
      <c r="G996" s="3">
        <f t="shared" ca="1" si="15"/>
        <v>9365</v>
      </c>
    </row>
    <row r="997" spans="1:7" x14ac:dyDescent="0.3">
      <c r="A997">
        <v>995</v>
      </c>
      <c r="B997" t="s">
        <v>520</v>
      </c>
      <c r="C997" t="s">
        <v>13</v>
      </c>
      <c r="D997" t="s">
        <v>536</v>
      </c>
      <c r="E997" t="s">
        <v>537</v>
      </c>
      <c r="F997" t="s">
        <v>10</v>
      </c>
      <c r="G997" s="3">
        <f t="shared" ca="1" si="15"/>
        <v>10885</v>
      </c>
    </row>
    <row r="998" spans="1:7" x14ac:dyDescent="0.3">
      <c r="A998">
        <v>996</v>
      </c>
      <c r="B998" t="s">
        <v>520</v>
      </c>
      <c r="C998" t="s">
        <v>7</v>
      </c>
      <c r="D998" t="s">
        <v>22</v>
      </c>
      <c r="E998" t="s">
        <v>521</v>
      </c>
      <c r="F998" t="s">
        <v>10</v>
      </c>
      <c r="G998" s="3">
        <f t="shared" ca="1" si="15"/>
        <v>8585</v>
      </c>
    </row>
    <row r="999" spans="1:7" x14ac:dyDescent="0.3">
      <c r="A999">
        <v>997</v>
      </c>
      <c r="B999" t="s">
        <v>520</v>
      </c>
      <c r="C999" t="s">
        <v>19</v>
      </c>
      <c r="D999" t="s">
        <v>19</v>
      </c>
      <c r="E999" t="s">
        <v>19</v>
      </c>
      <c r="F999" t="s">
        <v>19</v>
      </c>
      <c r="G999" s="3">
        <f t="shared" ca="1" si="15"/>
        <v>11469</v>
      </c>
    </row>
    <row r="1000" spans="1:7" x14ac:dyDescent="0.3">
      <c r="A1000">
        <v>998</v>
      </c>
      <c r="B1000" t="s">
        <v>520</v>
      </c>
      <c r="C1000" t="s">
        <v>13</v>
      </c>
      <c r="D1000" t="s">
        <v>55</v>
      </c>
      <c r="E1000" t="s">
        <v>19</v>
      </c>
      <c r="F1000" t="s">
        <v>10</v>
      </c>
      <c r="G1000" s="3">
        <f t="shared" ca="1" si="15"/>
        <v>11465</v>
      </c>
    </row>
    <row r="1001" spans="1:7" x14ac:dyDescent="0.3">
      <c r="A1001">
        <v>999</v>
      </c>
      <c r="B1001" t="s">
        <v>520</v>
      </c>
      <c r="C1001" t="s">
        <v>7</v>
      </c>
      <c r="D1001" t="s">
        <v>301</v>
      </c>
      <c r="E1001" t="s">
        <v>153</v>
      </c>
      <c r="F1001" t="s">
        <v>10</v>
      </c>
      <c r="G1001" s="3">
        <f t="shared" ca="1" si="15"/>
        <v>8063</v>
      </c>
    </row>
    <row r="1002" spans="1:7" x14ac:dyDescent="0.3">
      <c r="A1002">
        <v>1000</v>
      </c>
      <c r="B1002" t="s">
        <v>520</v>
      </c>
      <c r="C1002" t="s">
        <v>7</v>
      </c>
      <c r="D1002" t="s">
        <v>19</v>
      </c>
      <c r="E1002" t="s">
        <v>395</v>
      </c>
      <c r="F1002" t="s">
        <v>10</v>
      </c>
      <c r="G1002" s="3">
        <f t="shared" ca="1" si="15"/>
        <v>8028</v>
      </c>
    </row>
    <row r="1003" spans="1:7" x14ac:dyDescent="0.3">
      <c r="A1003">
        <v>1001</v>
      </c>
      <c r="B1003" t="s">
        <v>520</v>
      </c>
      <c r="C1003" t="s">
        <v>7</v>
      </c>
      <c r="D1003" t="s">
        <v>200</v>
      </c>
      <c r="E1003" t="s">
        <v>206</v>
      </c>
      <c r="F1003" t="s">
        <v>19</v>
      </c>
      <c r="G1003" s="3">
        <f t="shared" ca="1" si="15"/>
        <v>9136</v>
      </c>
    </row>
    <row r="1004" spans="1:7" x14ac:dyDescent="0.3">
      <c r="A1004">
        <v>1002</v>
      </c>
      <c r="B1004" t="s">
        <v>520</v>
      </c>
      <c r="C1004" t="s">
        <v>7</v>
      </c>
      <c r="D1004" t="s">
        <v>538</v>
      </c>
      <c r="E1004" t="s">
        <v>153</v>
      </c>
      <c r="F1004" t="s">
        <v>10</v>
      </c>
      <c r="G1004" s="3">
        <f t="shared" ca="1" si="15"/>
        <v>8939</v>
      </c>
    </row>
    <row r="1005" spans="1:7" x14ac:dyDescent="0.3">
      <c r="A1005">
        <v>1003</v>
      </c>
      <c r="B1005" t="s">
        <v>520</v>
      </c>
      <c r="C1005" t="s">
        <v>7</v>
      </c>
      <c r="D1005" t="s">
        <v>122</v>
      </c>
      <c r="E1005" t="s">
        <v>19</v>
      </c>
      <c r="F1005" t="s">
        <v>19</v>
      </c>
      <c r="G1005" s="3">
        <f t="shared" ca="1" si="15"/>
        <v>9188</v>
      </c>
    </row>
    <row r="1006" spans="1:7" x14ac:dyDescent="0.3">
      <c r="A1006">
        <v>1004</v>
      </c>
      <c r="B1006" t="s">
        <v>520</v>
      </c>
      <c r="C1006" t="s">
        <v>24</v>
      </c>
      <c r="D1006" t="s">
        <v>214</v>
      </c>
      <c r="E1006" t="s">
        <v>180</v>
      </c>
      <c r="F1006" t="s">
        <v>10</v>
      </c>
      <c r="G1006" s="3">
        <f t="shared" ca="1" si="15"/>
        <v>10267</v>
      </c>
    </row>
    <row r="1007" spans="1:7" x14ac:dyDescent="0.3">
      <c r="A1007">
        <v>1005</v>
      </c>
      <c r="B1007" t="s">
        <v>520</v>
      </c>
      <c r="C1007" t="s">
        <v>13</v>
      </c>
      <c r="D1007" t="s">
        <v>536</v>
      </c>
      <c r="E1007" t="s">
        <v>537</v>
      </c>
      <c r="F1007" t="s">
        <v>10</v>
      </c>
      <c r="G1007" s="3">
        <f t="shared" ca="1" si="15"/>
        <v>9653</v>
      </c>
    </row>
    <row r="1008" spans="1:7" x14ac:dyDescent="0.3">
      <c r="A1008">
        <v>1006</v>
      </c>
      <c r="B1008" t="s">
        <v>520</v>
      </c>
      <c r="C1008" t="s">
        <v>7</v>
      </c>
      <c r="D1008" t="s">
        <v>22</v>
      </c>
      <c r="E1008" t="s">
        <v>521</v>
      </c>
      <c r="F1008" t="s">
        <v>10</v>
      </c>
      <c r="G1008" s="3">
        <f t="shared" ca="1" si="15"/>
        <v>10695</v>
      </c>
    </row>
    <row r="1009" spans="1:7" x14ac:dyDescent="0.3">
      <c r="A1009">
        <v>1007</v>
      </c>
      <c r="B1009" t="s">
        <v>520</v>
      </c>
      <c r="C1009" t="s">
        <v>19</v>
      </c>
      <c r="D1009" t="s">
        <v>19</v>
      </c>
      <c r="E1009" t="s">
        <v>19</v>
      </c>
      <c r="F1009" t="s">
        <v>19</v>
      </c>
      <c r="G1009" s="3">
        <f t="shared" ca="1" si="15"/>
        <v>10405</v>
      </c>
    </row>
    <row r="1010" spans="1:7" x14ac:dyDescent="0.3">
      <c r="A1010">
        <v>1008</v>
      </c>
      <c r="B1010" t="s">
        <v>520</v>
      </c>
      <c r="C1010" t="s">
        <v>13</v>
      </c>
      <c r="D1010" t="s">
        <v>55</v>
      </c>
      <c r="E1010" t="s">
        <v>19</v>
      </c>
      <c r="F1010" t="s">
        <v>10</v>
      </c>
      <c r="G1010" s="3">
        <f t="shared" ca="1" si="15"/>
        <v>10353</v>
      </c>
    </row>
    <row r="1011" spans="1:7" x14ac:dyDescent="0.3">
      <c r="A1011">
        <v>1009</v>
      </c>
      <c r="B1011" t="s">
        <v>520</v>
      </c>
      <c r="C1011" t="s">
        <v>7</v>
      </c>
      <c r="D1011" t="s">
        <v>301</v>
      </c>
      <c r="E1011" t="s">
        <v>153</v>
      </c>
      <c r="F1011" t="s">
        <v>10</v>
      </c>
      <c r="G1011" s="3">
        <f t="shared" ca="1" si="15"/>
        <v>7292</v>
      </c>
    </row>
    <row r="1012" spans="1:7" x14ac:dyDescent="0.3">
      <c r="A1012">
        <v>1010</v>
      </c>
      <c r="B1012" t="s">
        <v>520</v>
      </c>
      <c r="C1012" t="s">
        <v>7</v>
      </c>
      <c r="D1012" t="s">
        <v>19</v>
      </c>
      <c r="E1012" t="s">
        <v>395</v>
      </c>
      <c r="F1012" t="s">
        <v>10</v>
      </c>
      <c r="G1012" s="3">
        <f t="shared" ca="1" si="15"/>
        <v>9386</v>
      </c>
    </row>
    <row r="1013" spans="1:7" x14ac:dyDescent="0.3">
      <c r="A1013">
        <v>1011</v>
      </c>
      <c r="B1013" t="s">
        <v>520</v>
      </c>
      <c r="C1013" t="s">
        <v>7</v>
      </c>
      <c r="D1013" t="s">
        <v>200</v>
      </c>
      <c r="E1013" t="s">
        <v>206</v>
      </c>
      <c r="F1013" t="s">
        <v>19</v>
      </c>
      <c r="G1013" s="3">
        <f t="shared" ca="1" si="15"/>
        <v>10778</v>
      </c>
    </row>
    <row r="1014" spans="1:7" x14ac:dyDescent="0.3">
      <c r="A1014">
        <v>1012</v>
      </c>
      <c r="B1014" t="s">
        <v>520</v>
      </c>
      <c r="C1014" t="s">
        <v>7</v>
      </c>
      <c r="D1014" t="s">
        <v>538</v>
      </c>
      <c r="E1014" t="s">
        <v>153</v>
      </c>
      <c r="F1014" t="s">
        <v>10</v>
      </c>
      <c r="G1014" s="3">
        <f t="shared" ca="1" si="15"/>
        <v>11244</v>
      </c>
    </row>
    <row r="1015" spans="1:7" x14ac:dyDescent="0.3">
      <c r="A1015">
        <v>1013</v>
      </c>
      <c r="B1015" t="s">
        <v>520</v>
      </c>
      <c r="C1015" t="s">
        <v>7</v>
      </c>
      <c r="D1015" t="s">
        <v>122</v>
      </c>
      <c r="E1015" t="s">
        <v>19</v>
      </c>
      <c r="F1015" t="s">
        <v>19</v>
      </c>
      <c r="G1015" s="3">
        <f t="shared" ca="1" si="15"/>
        <v>8752</v>
      </c>
    </row>
    <row r="1016" spans="1:7" x14ac:dyDescent="0.3">
      <c r="A1016">
        <v>1014</v>
      </c>
      <c r="B1016" t="s">
        <v>520</v>
      </c>
      <c r="C1016" t="s">
        <v>7</v>
      </c>
      <c r="D1016" t="s">
        <v>205</v>
      </c>
      <c r="E1016" t="s">
        <v>206</v>
      </c>
      <c r="F1016" t="s">
        <v>10</v>
      </c>
      <c r="G1016" s="3">
        <f t="shared" ca="1" si="15"/>
        <v>9056</v>
      </c>
    </row>
    <row r="1017" spans="1:7" x14ac:dyDescent="0.3">
      <c r="A1017">
        <v>1015</v>
      </c>
      <c r="B1017" t="s">
        <v>520</v>
      </c>
      <c r="C1017" t="s">
        <v>13</v>
      </c>
      <c r="D1017" t="s">
        <v>8</v>
      </c>
      <c r="E1017" t="s">
        <v>539</v>
      </c>
      <c r="F1017" t="s">
        <v>10</v>
      </c>
      <c r="G1017" s="3">
        <f t="shared" ca="1" si="15"/>
        <v>8372</v>
      </c>
    </row>
    <row r="1018" spans="1:7" x14ac:dyDescent="0.3">
      <c r="A1018">
        <v>1016</v>
      </c>
      <c r="B1018" t="s">
        <v>520</v>
      </c>
      <c r="C1018" t="s">
        <v>7</v>
      </c>
      <c r="D1018" t="s">
        <v>8</v>
      </c>
      <c r="E1018" t="s">
        <v>183</v>
      </c>
      <c r="F1018" t="s">
        <v>10</v>
      </c>
      <c r="G1018" s="3">
        <f t="shared" ca="1" si="15"/>
        <v>10143</v>
      </c>
    </row>
    <row r="1019" spans="1:7" x14ac:dyDescent="0.3">
      <c r="A1019">
        <v>1017</v>
      </c>
      <c r="B1019" t="s">
        <v>520</v>
      </c>
      <c r="C1019" t="s">
        <v>13</v>
      </c>
      <c r="D1019" t="s">
        <v>119</v>
      </c>
      <c r="E1019" t="s">
        <v>19</v>
      </c>
      <c r="F1019" t="s">
        <v>10</v>
      </c>
      <c r="G1019" s="3">
        <f t="shared" ca="1" si="15"/>
        <v>7688</v>
      </c>
    </row>
    <row r="1020" spans="1:7" x14ac:dyDescent="0.3">
      <c r="A1020">
        <v>1018</v>
      </c>
      <c r="B1020" t="s">
        <v>520</v>
      </c>
      <c r="C1020" t="s">
        <v>13</v>
      </c>
      <c r="D1020" t="s">
        <v>81</v>
      </c>
      <c r="E1020" t="s">
        <v>26</v>
      </c>
      <c r="F1020" t="s">
        <v>10</v>
      </c>
      <c r="G1020" s="3">
        <f t="shared" ca="1" si="15"/>
        <v>7366</v>
      </c>
    </row>
    <row r="1021" spans="1:7" x14ac:dyDescent="0.3">
      <c r="A1021">
        <v>1019</v>
      </c>
      <c r="B1021" t="s">
        <v>520</v>
      </c>
      <c r="C1021" t="s">
        <v>7</v>
      </c>
      <c r="D1021" t="s">
        <v>11</v>
      </c>
      <c r="E1021" t="s">
        <v>207</v>
      </c>
      <c r="F1021" t="s">
        <v>10</v>
      </c>
      <c r="G1021" s="3">
        <f t="shared" ca="1" si="15"/>
        <v>8227</v>
      </c>
    </row>
    <row r="1022" spans="1:7" x14ac:dyDescent="0.3">
      <c r="A1022">
        <v>1020</v>
      </c>
      <c r="B1022" t="s">
        <v>520</v>
      </c>
      <c r="C1022" t="s">
        <v>24</v>
      </c>
      <c r="D1022" t="s">
        <v>540</v>
      </c>
      <c r="E1022" t="s">
        <v>164</v>
      </c>
      <c r="F1022" t="s">
        <v>10</v>
      </c>
      <c r="G1022" s="3">
        <f t="shared" ca="1" si="15"/>
        <v>9696</v>
      </c>
    </row>
    <row r="1023" spans="1:7" x14ac:dyDescent="0.3">
      <c r="A1023">
        <v>1021</v>
      </c>
      <c r="B1023" t="s">
        <v>520</v>
      </c>
      <c r="C1023" t="s">
        <v>7</v>
      </c>
      <c r="D1023" t="s">
        <v>462</v>
      </c>
      <c r="E1023" t="s">
        <v>153</v>
      </c>
      <c r="F1023" t="s">
        <v>10</v>
      </c>
      <c r="G1023" s="3">
        <f t="shared" ca="1" si="15"/>
        <v>9801</v>
      </c>
    </row>
    <row r="1024" spans="1:7" x14ac:dyDescent="0.3">
      <c r="A1024">
        <v>1022</v>
      </c>
      <c r="B1024" t="s">
        <v>520</v>
      </c>
      <c r="C1024" t="s">
        <v>24</v>
      </c>
      <c r="D1024" t="s">
        <v>541</v>
      </c>
      <c r="E1024" t="s">
        <v>206</v>
      </c>
      <c r="F1024" t="s">
        <v>10</v>
      </c>
      <c r="G1024" s="3">
        <f t="shared" ca="1" si="15"/>
        <v>10106</v>
      </c>
    </row>
    <row r="1025" spans="1:7" x14ac:dyDescent="0.3">
      <c r="A1025">
        <v>1023</v>
      </c>
      <c r="B1025" t="s">
        <v>520</v>
      </c>
      <c r="C1025" t="s">
        <v>7</v>
      </c>
      <c r="D1025" t="s">
        <v>301</v>
      </c>
      <c r="E1025" t="s">
        <v>153</v>
      </c>
      <c r="F1025" t="s">
        <v>10</v>
      </c>
      <c r="G1025" s="3">
        <f t="shared" ca="1" si="15"/>
        <v>7858</v>
      </c>
    </row>
    <row r="1026" spans="1:7" x14ac:dyDescent="0.3">
      <c r="A1026">
        <v>1024</v>
      </c>
      <c r="B1026" t="s">
        <v>520</v>
      </c>
      <c r="C1026" t="s">
        <v>7</v>
      </c>
      <c r="D1026" t="s">
        <v>462</v>
      </c>
      <c r="E1026" t="s">
        <v>153</v>
      </c>
      <c r="F1026" t="s">
        <v>10</v>
      </c>
      <c r="G1026" s="3">
        <f t="shared" ref="G1026:G1089" ca="1" si="16">RANDBETWEEN(6500,12000)</f>
        <v>10557</v>
      </c>
    </row>
    <row r="1027" spans="1:7" x14ac:dyDescent="0.3">
      <c r="A1027">
        <v>1025</v>
      </c>
      <c r="B1027" t="s">
        <v>520</v>
      </c>
      <c r="C1027" t="s">
        <v>24</v>
      </c>
      <c r="D1027" t="s">
        <v>541</v>
      </c>
      <c r="E1027" t="s">
        <v>206</v>
      </c>
      <c r="F1027" t="s">
        <v>10</v>
      </c>
      <c r="G1027" s="3">
        <f t="shared" ca="1" si="16"/>
        <v>6677</v>
      </c>
    </row>
    <row r="1028" spans="1:7" x14ac:dyDescent="0.3">
      <c r="A1028">
        <v>1026</v>
      </c>
      <c r="B1028" t="s">
        <v>520</v>
      </c>
      <c r="C1028" t="s">
        <v>7</v>
      </c>
      <c r="D1028" t="s">
        <v>301</v>
      </c>
      <c r="E1028" t="s">
        <v>153</v>
      </c>
      <c r="F1028" t="s">
        <v>10</v>
      </c>
      <c r="G1028" s="3">
        <f t="shared" ca="1" si="16"/>
        <v>9362</v>
      </c>
    </row>
    <row r="1029" spans="1:7" x14ac:dyDescent="0.3">
      <c r="A1029">
        <v>1027</v>
      </c>
      <c r="B1029" t="s">
        <v>520</v>
      </c>
      <c r="C1029" t="s">
        <v>7</v>
      </c>
      <c r="D1029" t="s">
        <v>542</v>
      </c>
      <c r="E1029" t="s">
        <v>206</v>
      </c>
      <c r="F1029" t="s">
        <v>19</v>
      </c>
      <c r="G1029" s="3">
        <f t="shared" ca="1" si="16"/>
        <v>10629</v>
      </c>
    </row>
    <row r="1030" spans="1:7" x14ac:dyDescent="0.3">
      <c r="A1030">
        <v>1028</v>
      </c>
      <c r="B1030" t="s">
        <v>520</v>
      </c>
      <c r="C1030" t="s">
        <v>13</v>
      </c>
      <c r="D1030" t="s">
        <v>16</v>
      </c>
      <c r="E1030" t="s">
        <v>9</v>
      </c>
      <c r="F1030" t="s">
        <v>31</v>
      </c>
      <c r="G1030" s="3">
        <f t="shared" ca="1" si="16"/>
        <v>9084</v>
      </c>
    </row>
    <row r="1031" spans="1:7" x14ac:dyDescent="0.3">
      <c r="A1031">
        <v>1029</v>
      </c>
      <c r="B1031" t="s">
        <v>520</v>
      </c>
      <c r="C1031" t="s">
        <v>13</v>
      </c>
      <c r="D1031" t="s">
        <v>41</v>
      </c>
      <c r="E1031" t="s">
        <v>206</v>
      </c>
      <c r="F1031" t="s">
        <v>10</v>
      </c>
      <c r="G1031" s="3">
        <f t="shared" ca="1" si="16"/>
        <v>8167</v>
      </c>
    </row>
    <row r="1032" spans="1:7" x14ac:dyDescent="0.3">
      <c r="A1032">
        <v>1030</v>
      </c>
      <c r="B1032" t="s">
        <v>520</v>
      </c>
      <c r="C1032" t="s">
        <v>7</v>
      </c>
      <c r="D1032" t="s">
        <v>543</v>
      </c>
      <c r="E1032" t="s">
        <v>19</v>
      </c>
      <c r="F1032" t="s">
        <v>10</v>
      </c>
      <c r="G1032" s="3">
        <f t="shared" ca="1" si="16"/>
        <v>8983</v>
      </c>
    </row>
    <row r="1033" spans="1:7" x14ac:dyDescent="0.3">
      <c r="A1033">
        <v>1031</v>
      </c>
      <c r="B1033" t="s">
        <v>520</v>
      </c>
      <c r="C1033" t="s">
        <v>13</v>
      </c>
      <c r="D1033" t="s">
        <v>137</v>
      </c>
      <c r="E1033" t="s">
        <v>19</v>
      </c>
      <c r="F1033" t="s">
        <v>10</v>
      </c>
      <c r="G1033" s="3">
        <f t="shared" ca="1" si="16"/>
        <v>11542</v>
      </c>
    </row>
    <row r="1034" spans="1:7" x14ac:dyDescent="0.3">
      <c r="A1034">
        <v>1032</v>
      </c>
      <c r="B1034" t="s">
        <v>520</v>
      </c>
      <c r="C1034" t="s">
        <v>19</v>
      </c>
      <c r="D1034" t="s">
        <v>19</v>
      </c>
      <c r="E1034" t="s">
        <v>19</v>
      </c>
      <c r="F1034" t="s">
        <v>19</v>
      </c>
      <c r="G1034" s="3">
        <f t="shared" ca="1" si="16"/>
        <v>11270</v>
      </c>
    </row>
    <row r="1035" spans="1:7" x14ac:dyDescent="0.3">
      <c r="A1035">
        <v>1033</v>
      </c>
      <c r="B1035" t="s">
        <v>520</v>
      </c>
      <c r="C1035" t="s">
        <v>7</v>
      </c>
      <c r="D1035" t="s">
        <v>544</v>
      </c>
      <c r="E1035" t="s">
        <v>206</v>
      </c>
      <c r="F1035" t="s">
        <v>19</v>
      </c>
      <c r="G1035" s="3">
        <f t="shared" ca="1" si="16"/>
        <v>10636</v>
      </c>
    </row>
    <row r="1036" spans="1:7" x14ac:dyDescent="0.3">
      <c r="A1036">
        <v>1034</v>
      </c>
      <c r="B1036" t="s">
        <v>520</v>
      </c>
      <c r="C1036" t="s">
        <v>7</v>
      </c>
      <c r="D1036" t="s">
        <v>166</v>
      </c>
      <c r="E1036" t="s">
        <v>521</v>
      </c>
      <c r="F1036" t="s">
        <v>10</v>
      </c>
      <c r="G1036" s="3">
        <f t="shared" ca="1" si="16"/>
        <v>10254</v>
      </c>
    </row>
    <row r="1037" spans="1:7" x14ac:dyDescent="0.3">
      <c r="A1037">
        <v>1035</v>
      </c>
      <c r="B1037" t="s">
        <v>520</v>
      </c>
      <c r="C1037" t="s">
        <v>13</v>
      </c>
      <c r="D1037" t="s">
        <v>231</v>
      </c>
      <c r="E1037" t="s">
        <v>232</v>
      </c>
      <c r="F1037" t="s">
        <v>291</v>
      </c>
      <c r="G1037" s="3">
        <f t="shared" ca="1" si="16"/>
        <v>6822</v>
      </c>
    </row>
    <row r="1038" spans="1:7" x14ac:dyDescent="0.3">
      <c r="A1038">
        <v>1036</v>
      </c>
      <c r="B1038" t="s">
        <v>520</v>
      </c>
      <c r="C1038" t="s">
        <v>7</v>
      </c>
      <c r="D1038" t="s">
        <v>91</v>
      </c>
      <c r="E1038" t="s">
        <v>510</v>
      </c>
      <c r="F1038" t="s">
        <v>10</v>
      </c>
      <c r="G1038" s="3">
        <f t="shared" ca="1" si="16"/>
        <v>9359</v>
      </c>
    </row>
    <row r="1039" spans="1:7" x14ac:dyDescent="0.3">
      <c r="A1039">
        <v>1037</v>
      </c>
      <c r="B1039" t="s">
        <v>520</v>
      </c>
      <c r="C1039" t="s">
        <v>7</v>
      </c>
      <c r="D1039" t="s">
        <v>119</v>
      </c>
      <c r="E1039" t="s">
        <v>545</v>
      </c>
      <c r="F1039" t="s">
        <v>19</v>
      </c>
      <c r="G1039" s="3">
        <f t="shared" ca="1" si="16"/>
        <v>11022</v>
      </c>
    </row>
    <row r="1040" spans="1:7" x14ac:dyDescent="0.3">
      <c r="A1040">
        <v>1038</v>
      </c>
      <c r="B1040" t="s">
        <v>520</v>
      </c>
      <c r="C1040" t="s">
        <v>13</v>
      </c>
      <c r="D1040" t="s">
        <v>263</v>
      </c>
      <c r="E1040" t="s">
        <v>264</v>
      </c>
      <c r="F1040" t="s">
        <v>10</v>
      </c>
      <c r="G1040" s="3">
        <f t="shared" ca="1" si="16"/>
        <v>9897</v>
      </c>
    </row>
    <row r="1041" spans="1:7" x14ac:dyDescent="0.3">
      <c r="A1041">
        <v>1039</v>
      </c>
      <c r="B1041" t="s">
        <v>520</v>
      </c>
      <c r="C1041" t="s">
        <v>13</v>
      </c>
      <c r="D1041" t="s">
        <v>97</v>
      </c>
      <c r="E1041" t="s">
        <v>206</v>
      </c>
      <c r="F1041" t="s">
        <v>104</v>
      </c>
      <c r="G1041" s="3">
        <f t="shared" ca="1" si="16"/>
        <v>7797</v>
      </c>
    </row>
    <row r="1042" spans="1:7" x14ac:dyDescent="0.3">
      <c r="A1042">
        <v>1040</v>
      </c>
      <c r="B1042" t="s">
        <v>520</v>
      </c>
      <c r="C1042" t="s">
        <v>19</v>
      </c>
      <c r="D1042" t="s">
        <v>19</v>
      </c>
      <c r="E1042" t="s">
        <v>19</v>
      </c>
      <c r="F1042" t="s">
        <v>19</v>
      </c>
      <c r="G1042" s="3">
        <f t="shared" ca="1" si="16"/>
        <v>7820</v>
      </c>
    </row>
    <row r="1043" spans="1:7" x14ac:dyDescent="0.3">
      <c r="A1043">
        <v>1041</v>
      </c>
      <c r="B1043" t="s">
        <v>520</v>
      </c>
      <c r="C1043" t="s">
        <v>7</v>
      </c>
      <c r="D1043" t="s">
        <v>544</v>
      </c>
      <c r="E1043" t="s">
        <v>206</v>
      </c>
      <c r="F1043" t="s">
        <v>19</v>
      </c>
      <c r="G1043" s="3">
        <f t="shared" ca="1" si="16"/>
        <v>8012</v>
      </c>
    </row>
    <row r="1044" spans="1:7" x14ac:dyDescent="0.3">
      <c r="A1044">
        <v>1042</v>
      </c>
      <c r="B1044" t="s">
        <v>520</v>
      </c>
      <c r="C1044" t="s">
        <v>7</v>
      </c>
      <c r="D1044" t="s">
        <v>166</v>
      </c>
      <c r="E1044" t="s">
        <v>521</v>
      </c>
      <c r="F1044" t="s">
        <v>10</v>
      </c>
      <c r="G1044" s="3">
        <f t="shared" ca="1" si="16"/>
        <v>7175</v>
      </c>
    </row>
    <row r="1045" spans="1:7" x14ac:dyDescent="0.3">
      <c r="A1045">
        <v>1043</v>
      </c>
      <c r="B1045" t="s">
        <v>520</v>
      </c>
      <c r="C1045" t="s">
        <v>13</v>
      </c>
      <c r="D1045" t="s">
        <v>231</v>
      </c>
      <c r="E1045" t="s">
        <v>232</v>
      </c>
      <c r="F1045" t="s">
        <v>291</v>
      </c>
      <c r="G1045" s="3">
        <f t="shared" ca="1" si="16"/>
        <v>9807</v>
      </c>
    </row>
    <row r="1046" spans="1:7" x14ac:dyDescent="0.3">
      <c r="A1046">
        <v>1044</v>
      </c>
      <c r="B1046" t="s">
        <v>520</v>
      </c>
      <c r="C1046" t="s">
        <v>7</v>
      </c>
      <c r="D1046" t="s">
        <v>91</v>
      </c>
      <c r="E1046" t="s">
        <v>510</v>
      </c>
      <c r="F1046" t="s">
        <v>10</v>
      </c>
      <c r="G1046" s="3">
        <f t="shared" ca="1" si="16"/>
        <v>9523</v>
      </c>
    </row>
    <row r="1047" spans="1:7" x14ac:dyDescent="0.3">
      <c r="A1047">
        <v>1045</v>
      </c>
      <c r="B1047" t="s">
        <v>520</v>
      </c>
      <c r="C1047" t="s">
        <v>7</v>
      </c>
      <c r="D1047" t="s">
        <v>119</v>
      </c>
      <c r="E1047" t="s">
        <v>545</v>
      </c>
      <c r="F1047" t="s">
        <v>19</v>
      </c>
      <c r="G1047" s="3">
        <f t="shared" ca="1" si="16"/>
        <v>11006</v>
      </c>
    </row>
    <row r="1048" spans="1:7" x14ac:dyDescent="0.3">
      <c r="A1048">
        <v>1046</v>
      </c>
      <c r="B1048" t="s">
        <v>520</v>
      </c>
      <c r="C1048" t="s">
        <v>13</v>
      </c>
      <c r="D1048" t="s">
        <v>263</v>
      </c>
      <c r="E1048" t="s">
        <v>264</v>
      </c>
      <c r="F1048" t="s">
        <v>10</v>
      </c>
      <c r="G1048" s="3">
        <f t="shared" ca="1" si="16"/>
        <v>8218</v>
      </c>
    </row>
    <row r="1049" spans="1:7" x14ac:dyDescent="0.3">
      <c r="A1049">
        <v>1047</v>
      </c>
      <c r="B1049" t="s">
        <v>520</v>
      </c>
      <c r="C1049" t="s">
        <v>13</v>
      </c>
      <c r="D1049" t="s">
        <v>97</v>
      </c>
      <c r="E1049" t="s">
        <v>206</v>
      </c>
      <c r="F1049" t="s">
        <v>104</v>
      </c>
      <c r="G1049" s="3">
        <f t="shared" ca="1" si="16"/>
        <v>7237</v>
      </c>
    </row>
    <row r="1050" spans="1:7" x14ac:dyDescent="0.3">
      <c r="A1050">
        <v>1048</v>
      </c>
      <c r="B1050" t="s">
        <v>520</v>
      </c>
      <c r="C1050" t="s">
        <v>7</v>
      </c>
      <c r="D1050" t="s">
        <v>122</v>
      </c>
      <c r="E1050" t="s">
        <v>19</v>
      </c>
      <c r="F1050" t="s">
        <v>19</v>
      </c>
      <c r="G1050" s="3">
        <f t="shared" ca="1" si="16"/>
        <v>8016</v>
      </c>
    </row>
    <row r="1051" spans="1:7" x14ac:dyDescent="0.3">
      <c r="A1051">
        <v>1049</v>
      </c>
      <c r="B1051" t="s">
        <v>520</v>
      </c>
      <c r="C1051" t="s">
        <v>13</v>
      </c>
      <c r="D1051" t="s">
        <v>546</v>
      </c>
      <c r="E1051" t="s">
        <v>19</v>
      </c>
      <c r="F1051" t="s">
        <v>10</v>
      </c>
      <c r="G1051" s="3">
        <f t="shared" ca="1" si="16"/>
        <v>6558</v>
      </c>
    </row>
    <row r="1052" spans="1:7" x14ac:dyDescent="0.3">
      <c r="A1052">
        <v>1050</v>
      </c>
      <c r="B1052" t="s">
        <v>520</v>
      </c>
      <c r="C1052" t="s">
        <v>7</v>
      </c>
      <c r="D1052" t="s">
        <v>542</v>
      </c>
      <c r="E1052" t="s">
        <v>206</v>
      </c>
      <c r="F1052" t="s">
        <v>19</v>
      </c>
      <c r="G1052" s="3">
        <f t="shared" ca="1" si="16"/>
        <v>7510</v>
      </c>
    </row>
    <row r="1053" spans="1:7" x14ac:dyDescent="0.3">
      <c r="A1053">
        <v>1051</v>
      </c>
      <c r="B1053" t="s">
        <v>520</v>
      </c>
      <c r="C1053" t="s">
        <v>13</v>
      </c>
      <c r="D1053" t="s">
        <v>19</v>
      </c>
      <c r="E1053" t="s">
        <v>547</v>
      </c>
      <c r="F1053" t="s">
        <v>10</v>
      </c>
      <c r="G1053" s="3">
        <f t="shared" ca="1" si="16"/>
        <v>11677</v>
      </c>
    </row>
    <row r="1054" spans="1:7" x14ac:dyDescent="0.3">
      <c r="A1054">
        <v>1052</v>
      </c>
      <c r="B1054" t="s">
        <v>520</v>
      </c>
      <c r="C1054" t="s">
        <v>7</v>
      </c>
      <c r="D1054" t="s">
        <v>166</v>
      </c>
      <c r="E1054" t="s">
        <v>48</v>
      </c>
      <c r="F1054" t="s">
        <v>10</v>
      </c>
      <c r="G1054" s="3">
        <f t="shared" ca="1" si="16"/>
        <v>8776</v>
      </c>
    </row>
    <row r="1055" spans="1:7" x14ac:dyDescent="0.3">
      <c r="A1055">
        <v>1053</v>
      </c>
      <c r="B1055" t="s">
        <v>520</v>
      </c>
      <c r="C1055" t="s">
        <v>7</v>
      </c>
      <c r="D1055" t="s">
        <v>548</v>
      </c>
      <c r="E1055" t="s">
        <v>19</v>
      </c>
      <c r="F1055" t="s">
        <v>10</v>
      </c>
      <c r="G1055" s="3">
        <f t="shared" ca="1" si="16"/>
        <v>8820</v>
      </c>
    </row>
    <row r="1056" spans="1:7" x14ac:dyDescent="0.3">
      <c r="A1056">
        <v>1054</v>
      </c>
      <c r="B1056" t="s">
        <v>520</v>
      </c>
      <c r="C1056" t="s">
        <v>13</v>
      </c>
      <c r="D1056" t="s">
        <v>19</v>
      </c>
      <c r="E1056" t="s">
        <v>19</v>
      </c>
      <c r="F1056" t="s">
        <v>19</v>
      </c>
      <c r="G1056" s="3">
        <f t="shared" ca="1" si="16"/>
        <v>11192</v>
      </c>
    </row>
    <row r="1057" spans="1:7" x14ac:dyDescent="0.3">
      <c r="A1057">
        <v>1055</v>
      </c>
      <c r="B1057" t="s">
        <v>520</v>
      </c>
      <c r="C1057" t="s">
        <v>13</v>
      </c>
      <c r="D1057" t="s">
        <v>97</v>
      </c>
      <c r="E1057" t="s">
        <v>245</v>
      </c>
      <c r="F1057" t="s">
        <v>10</v>
      </c>
      <c r="G1057" s="3">
        <f t="shared" ca="1" si="16"/>
        <v>9679</v>
      </c>
    </row>
    <row r="1058" spans="1:7" x14ac:dyDescent="0.3">
      <c r="A1058">
        <v>1056</v>
      </c>
      <c r="B1058" t="s">
        <v>520</v>
      </c>
      <c r="C1058" t="s">
        <v>7</v>
      </c>
      <c r="D1058" t="s">
        <v>217</v>
      </c>
      <c r="E1058" t="s">
        <v>206</v>
      </c>
      <c r="F1058" t="s">
        <v>10</v>
      </c>
      <c r="G1058" s="3">
        <f t="shared" ca="1" si="16"/>
        <v>10201</v>
      </c>
    </row>
    <row r="1059" spans="1:7" x14ac:dyDescent="0.3">
      <c r="A1059">
        <v>1057</v>
      </c>
      <c r="B1059" t="s">
        <v>520</v>
      </c>
      <c r="C1059" t="s">
        <v>7</v>
      </c>
      <c r="D1059" t="s">
        <v>549</v>
      </c>
      <c r="E1059" t="s">
        <v>550</v>
      </c>
      <c r="F1059" t="s">
        <v>10</v>
      </c>
      <c r="G1059" s="3">
        <f t="shared" ca="1" si="16"/>
        <v>8709</v>
      </c>
    </row>
    <row r="1060" spans="1:7" x14ac:dyDescent="0.3">
      <c r="A1060">
        <v>1058</v>
      </c>
      <c r="B1060" t="s">
        <v>520</v>
      </c>
      <c r="C1060" t="s">
        <v>7</v>
      </c>
      <c r="D1060" t="s">
        <v>480</v>
      </c>
      <c r="E1060" t="s">
        <v>481</v>
      </c>
      <c r="F1060" t="s">
        <v>10</v>
      </c>
      <c r="G1060" s="3">
        <f t="shared" ca="1" si="16"/>
        <v>11072</v>
      </c>
    </row>
    <row r="1061" spans="1:7" x14ac:dyDescent="0.3">
      <c r="A1061">
        <v>1059</v>
      </c>
      <c r="B1061" t="s">
        <v>520</v>
      </c>
      <c r="C1061" t="s">
        <v>7</v>
      </c>
      <c r="D1061" t="s">
        <v>551</v>
      </c>
      <c r="E1061" t="s">
        <v>485</v>
      </c>
      <c r="F1061" t="s">
        <v>10</v>
      </c>
      <c r="G1061" s="3">
        <f t="shared" ca="1" si="16"/>
        <v>7373</v>
      </c>
    </row>
    <row r="1062" spans="1:7" x14ac:dyDescent="0.3">
      <c r="A1062">
        <v>1060</v>
      </c>
      <c r="B1062" t="s">
        <v>520</v>
      </c>
      <c r="C1062" t="s">
        <v>13</v>
      </c>
      <c r="D1062" t="s">
        <v>258</v>
      </c>
      <c r="E1062" t="s">
        <v>153</v>
      </c>
      <c r="F1062" t="s">
        <v>10</v>
      </c>
      <c r="G1062" s="3">
        <f t="shared" ca="1" si="16"/>
        <v>6680</v>
      </c>
    </row>
    <row r="1063" spans="1:7" x14ac:dyDescent="0.3">
      <c r="A1063">
        <v>1061</v>
      </c>
      <c r="B1063" t="s">
        <v>520</v>
      </c>
      <c r="C1063" t="s">
        <v>13</v>
      </c>
      <c r="D1063" t="s">
        <v>119</v>
      </c>
      <c r="E1063" t="s">
        <v>552</v>
      </c>
      <c r="F1063" t="s">
        <v>10</v>
      </c>
      <c r="G1063" s="3">
        <f t="shared" ca="1" si="16"/>
        <v>6517</v>
      </c>
    </row>
    <row r="1064" spans="1:7" x14ac:dyDescent="0.3">
      <c r="A1064">
        <v>1062</v>
      </c>
      <c r="B1064" t="s">
        <v>520</v>
      </c>
      <c r="C1064" t="s">
        <v>13</v>
      </c>
      <c r="D1064" t="s">
        <v>446</v>
      </c>
      <c r="E1064" t="s">
        <v>447</v>
      </c>
      <c r="F1064" t="s">
        <v>10</v>
      </c>
      <c r="G1064" s="3">
        <f t="shared" ca="1" si="16"/>
        <v>9878</v>
      </c>
    </row>
    <row r="1065" spans="1:7" x14ac:dyDescent="0.3">
      <c r="A1065">
        <v>1063</v>
      </c>
      <c r="B1065" t="s">
        <v>520</v>
      </c>
      <c r="C1065" t="s">
        <v>7</v>
      </c>
      <c r="D1065" t="s">
        <v>301</v>
      </c>
      <c r="E1065" t="s">
        <v>206</v>
      </c>
      <c r="F1065" t="s">
        <v>10</v>
      </c>
      <c r="G1065" s="3">
        <f t="shared" ca="1" si="16"/>
        <v>8060</v>
      </c>
    </row>
    <row r="1066" spans="1:7" x14ac:dyDescent="0.3">
      <c r="A1066">
        <v>1064</v>
      </c>
      <c r="B1066" t="s">
        <v>520</v>
      </c>
      <c r="C1066" t="s">
        <v>13</v>
      </c>
      <c r="D1066" t="s">
        <v>35</v>
      </c>
      <c r="E1066" t="s">
        <v>553</v>
      </c>
      <c r="F1066" t="s">
        <v>10</v>
      </c>
      <c r="G1066" s="3">
        <f t="shared" ca="1" si="16"/>
        <v>9347</v>
      </c>
    </row>
    <row r="1067" spans="1:7" x14ac:dyDescent="0.3">
      <c r="A1067">
        <v>1065</v>
      </c>
      <c r="B1067" t="s">
        <v>520</v>
      </c>
      <c r="C1067" t="s">
        <v>13</v>
      </c>
      <c r="D1067" t="s">
        <v>97</v>
      </c>
      <c r="E1067" t="s">
        <v>245</v>
      </c>
      <c r="F1067" t="s">
        <v>10</v>
      </c>
      <c r="G1067" s="3">
        <f t="shared" ca="1" si="16"/>
        <v>7905</v>
      </c>
    </row>
    <row r="1068" spans="1:7" x14ac:dyDescent="0.3">
      <c r="A1068">
        <v>1066</v>
      </c>
      <c r="B1068" t="s">
        <v>520</v>
      </c>
      <c r="C1068" t="s">
        <v>7</v>
      </c>
      <c r="D1068" t="s">
        <v>217</v>
      </c>
      <c r="E1068" t="s">
        <v>206</v>
      </c>
      <c r="F1068" t="s">
        <v>10</v>
      </c>
      <c r="G1068" s="3">
        <f t="shared" ca="1" si="16"/>
        <v>10420</v>
      </c>
    </row>
    <row r="1069" spans="1:7" x14ac:dyDescent="0.3">
      <c r="A1069">
        <v>1067</v>
      </c>
      <c r="B1069" t="s">
        <v>520</v>
      </c>
      <c r="C1069" t="s">
        <v>7</v>
      </c>
      <c r="D1069" t="s">
        <v>549</v>
      </c>
      <c r="E1069" t="s">
        <v>550</v>
      </c>
      <c r="F1069" t="s">
        <v>10</v>
      </c>
      <c r="G1069" s="3">
        <f t="shared" ca="1" si="16"/>
        <v>11005</v>
      </c>
    </row>
    <row r="1070" spans="1:7" x14ac:dyDescent="0.3">
      <c r="A1070">
        <v>1068</v>
      </c>
      <c r="B1070" t="s">
        <v>520</v>
      </c>
      <c r="C1070" t="s">
        <v>7</v>
      </c>
      <c r="D1070" t="s">
        <v>480</v>
      </c>
      <c r="E1070" t="s">
        <v>481</v>
      </c>
      <c r="F1070" t="s">
        <v>10</v>
      </c>
      <c r="G1070" s="3">
        <f t="shared" ca="1" si="16"/>
        <v>10354</v>
      </c>
    </row>
    <row r="1071" spans="1:7" x14ac:dyDescent="0.3">
      <c r="A1071">
        <v>1069</v>
      </c>
      <c r="B1071" t="s">
        <v>520</v>
      </c>
      <c r="C1071" t="s">
        <v>7</v>
      </c>
      <c r="D1071" t="s">
        <v>551</v>
      </c>
      <c r="E1071" t="s">
        <v>485</v>
      </c>
      <c r="F1071" t="s">
        <v>10</v>
      </c>
      <c r="G1071" s="3">
        <f t="shared" ca="1" si="16"/>
        <v>10289</v>
      </c>
    </row>
    <row r="1072" spans="1:7" x14ac:dyDescent="0.3">
      <c r="A1072">
        <v>1070</v>
      </c>
      <c r="B1072" t="s">
        <v>520</v>
      </c>
      <c r="C1072" t="s">
        <v>13</v>
      </c>
      <c r="D1072" t="s">
        <v>258</v>
      </c>
      <c r="E1072" t="s">
        <v>153</v>
      </c>
      <c r="F1072" t="s">
        <v>10</v>
      </c>
      <c r="G1072" s="3">
        <f t="shared" ca="1" si="16"/>
        <v>9591</v>
      </c>
    </row>
    <row r="1073" spans="1:7" x14ac:dyDescent="0.3">
      <c r="A1073">
        <v>1071</v>
      </c>
      <c r="B1073" t="s">
        <v>520</v>
      </c>
      <c r="C1073" t="s">
        <v>13</v>
      </c>
      <c r="D1073" t="s">
        <v>119</v>
      </c>
      <c r="E1073" t="s">
        <v>552</v>
      </c>
      <c r="F1073" t="s">
        <v>10</v>
      </c>
      <c r="G1073" s="3">
        <f t="shared" ca="1" si="16"/>
        <v>6895</v>
      </c>
    </row>
    <row r="1074" spans="1:7" x14ac:dyDescent="0.3">
      <c r="A1074">
        <v>1072</v>
      </c>
      <c r="B1074" t="s">
        <v>520</v>
      </c>
      <c r="C1074" t="s">
        <v>13</v>
      </c>
      <c r="D1074" t="s">
        <v>446</v>
      </c>
      <c r="E1074" t="s">
        <v>447</v>
      </c>
      <c r="F1074" t="s">
        <v>10</v>
      </c>
      <c r="G1074" s="3">
        <f t="shared" ca="1" si="16"/>
        <v>11061</v>
      </c>
    </row>
    <row r="1075" spans="1:7" x14ac:dyDescent="0.3">
      <c r="A1075">
        <v>1073</v>
      </c>
      <c r="B1075" t="s">
        <v>520</v>
      </c>
      <c r="C1075" t="s">
        <v>7</v>
      </c>
      <c r="D1075" t="s">
        <v>301</v>
      </c>
      <c r="E1075" t="s">
        <v>206</v>
      </c>
      <c r="F1075" t="s">
        <v>10</v>
      </c>
      <c r="G1075" s="3">
        <f t="shared" ca="1" si="16"/>
        <v>9884</v>
      </c>
    </row>
    <row r="1076" spans="1:7" x14ac:dyDescent="0.3">
      <c r="A1076">
        <v>1074</v>
      </c>
      <c r="B1076" t="s">
        <v>520</v>
      </c>
      <c r="C1076" t="s">
        <v>13</v>
      </c>
      <c r="D1076" t="s">
        <v>35</v>
      </c>
      <c r="E1076" t="s">
        <v>553</v>
      </c>
      <c r="F1076" t="s">
        <v>10</v>
      </c>
      <c r="G1076" s="3">
        <f t="shared" ca="1" si="16"/>
        <v>8949</v>
      </c>
    </row>
    <row r="1077" spans="1:7" x14ac:dyDescent="0.3">
      <c r="A1077">
        <v>1075</v>
      </c>
      <c r="B1077" t="s">
        <v>520</v>
      </c>
      <c r="C1077" t="s">
        <v>24</v>
      </c>
      <c r="D1077" t="s">
        <v>479</v>
      </c>
      <c r="E1077" t="s">
        <v>19</v>
      </c>
      <c r="F1077" t="s">
        <v>10</v>
      </c>
      <c r="G1077" s="3">
        <f t="shared" ca="1" si="16"/>
        <v>7947</v>
      </c>
    </row>
    <row r="1078" spans="1:7" x14ac:dyDescent="0.3">
      <c r="A1078">
        <v>1076</v>
      </c>
      <c r="B1078" t="s">
        <v>520</v>
      </c>
      <c r="C1078" t="s">
        <v>13</v>
      </c>
      <c r="D1078" t="s">
        <v>554</v>
      </c>
      <c r="E1078" t="s">
        <v>528</v>
      </c>
      <c r="F1078" t="s">
        <v>10</v>
      </c>
      <c r="G1078" s="3">
        <f t="shared" ca="1" si="16"/>
        <v>6539</v>
      </c>
    </row>
    <row r="1079" spans="1:7" x14ac:dyDescent="0.3">
      <c r="A1079">
        <v>1077</v>
      </c>
      <c r="B1079" t="s">
        <v>520</v>
      </c>
      <c r="C1079" t="s">
        <v>13</v>
      </c>
      <c r="D1079" t="s">
        <v>555</v>
      </c>
      <c r="E1079" t="s">
        <v>556</v>
      </c>
      <c r="F1079" t="s">
        <v>10</v>
      </c>
      <c r="G1079" s="3">
        <f t="shared" ca="1" si="16"/>
        <v>11315</v>
      </c>
    </row>
    <row r="1080" spans="1:7" x14ac:dyDescent="0.3">
      <c r="A1080">
        <v>1078</v>
      </c>
      <c r="B1080" t="s">
        <v>520</v>
      </c>
      <c r="C1080" t="s">
        <v>24</v>
      </c>
      <c r="D1080" t="s">
        <v>169</v>
      </c>
      <c r="E1080" t="s">
        <v>153</v>
      </c>
      <c r="F1080" t="s">
        <v>10</v>
      </c>
      <c r="G1080" s="3">
        <f t="shared" ca="1" si="16"/>
        <v>7618</v>
      </c>
    </row>
    <row r="1081" spans="1:7" x14ac:dyDescent="0.3">
      <c r="A1081">
        <v>1079</v>
      </c>
      <c r="B1081" t="s">
        <v>520</v>
      </c>
      <c r="C1081" t="s">
        <v>7</v>
      </c>
      <c r="D1081" t="s">
        <v>212</v>
      </c>
      <c r="E1081" t="s">
        <v>213</v>
      </c>
      <c r="F1081" t="s">
        <v>10</v>
      </c>
      <c r="G1081" s="3">
        <f t="shared" ca="1" si="16"/>
        <v>8845</v>
      </c>
    </row>
    <row r="1082" spans="1:7" x14ac:dyDescent="0.3">
      <c r="A1082">
        <v>1080</v>
      </c>
      <c r="B1082" t="s">
        <v>520</v>
      </c>
      <c r="C1082" t="s">
        <v>13</v>
      </c>
      <c r="D1082" t="s">
        <v>8</v>
      </c>
      <c r="E1082" t="s">
        <v>19</v>
      </c>
      <c r="F1082" t="s">
        <v>19</v>
      </c>
      <c r="G1082" s="3">
        <f t="shared" ca="1" si="16"/>
        <v>11842</v>
      </c>
    </row>
    <row r="1083" spans="1:7" x14ac:dyDescent="0.3">
      <c r="A1083">
        <v>1081</v>
      </c>
      <c r="B1083" t="s">
        <v>520</v>
      </c>
      <c r="C1083" t="s">
        <v>7</v>
      </c>
      <c r="D1083" t="s">
        <v>22</v>
      </c>
      <c r="E1083" t="s">
        <v>19</v>
      </c>
      <c r="F1083" t="s">
        <v>19</v>
      </c>
      <c r="G1083" s="3">
        <f t="shared" ca="1" si="16"/>
        <v>8781</v>
      </c>
    </row>
    <row r="1084" spans="1:7" x14ac:dyDescent="0.3">
      <c r="A1084">
        <v>1082</v>
      </c>
      <c r="B1084" t="s">
        <v>520</v>
      </c>
      <c r="C1084" t="s">
        <v>7</v>
      </c>
      <c r="D1084" t="s">
        <v>80</v>
      </c>
      <c r="E1084" t="s">
        <v>284</v>
      </c>
      <c r="F1084" t="s">
        <v>10</v>
      </c>
      <c r="G1084" s="3">
        <f t="shared" ca="1" si="16"/>
        <v>7558</v>
      </c>
    </row>
    <row r="1085" spans="1:7" x14ac:dyDescent="0.3">
      <c r="A1085">
        <v>1083</v>
      </c>
      <c r="B1085" t="s">
        <v>520</v>
      </c>
      <c r="C1085" t="s">
        <v>7</v>
      </c>
      <c r="D1085" t="s">
        <v>557</v>
      </c>
      <c r="E1085" t="s">
        <v>164</v>
      </c>
      <c r="F1085" t="s">
        <v>10</v>
      </c>
      <c r="G1085" s="3">
        <f t="shared" ca="1" si="16"/>
        <v>10332</v>
      </c>
    </row>
    <row r="1086" spans="1:7" x14ac:dyDescent="0.3">
      <c r="A1086">
        <v>1084</v>
      </c>
      <c r="B1086" t="s">
        <v>520</v>
      </c>
      <c r="C1086" t="s">
        <v>24</v>
      </c>
      <c r="D1086" t="s">
        <v>97</v>
      </c>
      <c r="E1086" t="s">
        <v>180</v>
      </c>
      <c r="F1086" t="s">
        <v>10</v>
      </c>
      <c r="G1086" s="3">
        <f t="shared" ca="1" si="16"/>
        <v>10410</v>
      </c>
    </row>
    <row r="1087" spans="1:7" x14ac:dyDescent="0.3">
      <c r="A1087">
        <v>1085</v>
      </c>
      <c r="B1087" t="s">
        <v>520</v>
      </c>
      <c r="C1087" t="s">
        <v>7</v>
      </c>
      <c r="D1087" t="s">
        <v>301</v>
      </c>
      <c r="E1087" t="s">
        <v>206</v>
      </c>
      <c r="F1087" t="s">
        <v>10</v>
      </c>
      <c r="G1087" s="3">
        <f t="shared" ca="1" si="16"/>
        <v>9165</v>
      </c>
    </row>
    <row r="1088" spans="1:7" x14ac:dyDescent="0.3">
      <c r="A1088">
        <v>1086</v>
      </c>
      <c r="B1088" t="s">
        <v>520</v>
      </c>
      <c r="C1088" t="s">
        <v>19</v>
      </c>
      <c r="D1088" t="s">
        <v>19</v>
      </c>
      <c r="E1088" t="s">
        <v>19</v>
      </c>
      <c r="F1088" t="s">
        <v>19</v>
      </c>
      <c r="G1088" s="3">
        <f t="shared" ca="1" si="16"/>
        <v>7694</v>
      </c>
    </row>
    <row r="1089" spans="1:7" x14ac:dyDescent="0.3">
      <c r="A1089">
        <v>1087</v>
      </c>
      <c r="B1089" t="s">
        <v>520</v>
      </c>
      <c r="C1089" t="s">
        <v>7</v>
      </c>
      <c r="D1089" t="s">
        <v>231</v>
      </c>
      <c r="E1089" t="s">
        <v>232</v>
      </c>
      <c r="F1089" t="s">
        <v>10</v>
      </c>
      <c r="G1089" s="3">
        <f t="shared" ca="1" si="16"/>
        <v>7472</v>
      </c>
    </row>
    <row r="1090" spans="1:7" x14ac:dyDescent="0.3">
      <c r="A1090">
        <v>1088</v>
      </c>
      <c r="B1090" t="s">
        <v>520</v>
      </c>
      <c r="C1090" t="s">
        <v>7</v>
      </c>
      <c r="D1090" t="s">
        <v>43</v>
      </c>
      <c r="E1090" t="s">
        <v>44</v>
      </c>
      <c r="F1090" t="s">
        <v>10</v>
      </c>
      <c r="G1090" s="3">
        <f t="shared" ref="G1090:G1096" ca="1" si="17">RANDBETWEEN(6500,12000)</f>
        <v>11047</v>
      </c>
    </row>
    <row r="1091" spans="1:7" x14ac:dyDescent="0.3">
      <c r="A1091">
        <v>1089</v>
      </c>
      <c r="B1091" t="s">
        <v>520</v>
      </c>
      <c r="C1091" t="s">
        <v>24</v>
      </c>
      <c r="D1091" t="s">
        <v>471</v>
      </c>
      <c r="E1091" t="s">
        <v>558</v>
      </c>
      <c r="F1091" t="s">
        <v>10</v>
      </c>
      <c r="G1091" s="3">
        <f t="shared" ca="1" si="17"/>
        <v>7376</v>
      </c>
    </row>
    <row r="1092" spans="1:7" x14ac:dyDescent="0.3">
      <c r="A1092">
        <v>1090</v>
      </c>
      <c r="B1092" t="s">
        <v>520</v>
      </c>
      <c r="C1092" t="s">
        <v>7</v>
      </c>
      <c r="D1092" t="s">
        <v>200</v>
      </c>
      <c r="E1092" t="s">
        <v>558</v>
      </c>
      <c r="F1092" t="s">
        <v>104</v>
      </c>
      <c r="G1092" s="3">
        <f t="shared" ca="1" si="17"/>
        <v>7358</v>
      </c>
    </row>
    <row r="1093" spans="1:7" x14ac:dyDescent="0.3">
      <c r="A1093">
        <v>1091</v>
      </c>
      <c r="B1093" t="s">
        <v>520</v>
      </c>
      <c r="C1093" t="s">
        <v>7</v>
      </c>
      <c r="D1093" t="s">
        <v>35</v>
      </c>
      <c r="E1093" t="s">
        <v>153</v>
      </c>
      <c r="F1093" t="s">
        <v>10</v>
      </c>
      <c r="G1093" s="3">
        <f t="shared" ca="1" si="17"/>
        <v>9874</v>
      </c>
    </row>
    <row r="1094" spans="1:7" x14ac:dyDescent="0.3">
      <c r="A1094">
        <v>1092</v>
      </c>
      <c r="B1094" t="s">
        <v>520</v>
      </c>
      <c r="C1094" t="s">
        <v>13</v>
      </c>
      <c r="D1094" t="s">
        <v>450</v>
      </c>
      <c r="E1094" t="s">
        <v>77</v>
      </c>
      <c r="F1094" t="s">
        <v>10</v>
      </c>
      <c r="G1094" s="3">
        <f t="shared" ca="1" si="17"/>
        <v>10000</v>
      </c>
    </row>
    <row r="1095" spans="1:7" x14ac:dyDescent="0.3">
      <c r="A1095">
        <v>1093</v>
      </c>
      <c r="B1095" t="s">
        <v>520</v>
      </c>
      <c r="C1095" t="s">
        <v>13</v>
      </c>
      <c r="D1095" t="s">
        <v>559</v>
      </c>
      <c r="E1095" t="s">
        <v>560</v>
      </c>
      <c r="F1095" t="s">
        <v>10</v>
      </c>
      <c r="G1095" s="3">
        <f t="shared" ca="1" si="17"/>
        <v>9174</v>
      </c>
    </row>
    <row r="1096" spans="1:7" x14ac:dyDescent="0.3">
      <c r="A1096">
        <v>1094</v>
      </c>
      <c r="B1096" t="s">
        <v>520</v>
      </c>
      <c r="C1096" t="s">
        <v>7</v>
      </c>
      <c r="D1096" t="s">
        <v>179</v>
      </c>
      <c r="E1096" t="s">
        <v>224</v>
      </c>
      <c r="F1096" t="s">
        <v>10</v>
      </c>
      <c r="G1096" s="3">
        <f t="shared" ca="1" si="17"/>
        <v>7175</v>
      </c>
    </row>
  </sheetData>
  <conditionalFormatting sqref="G1:G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{24F06032-C907-48EC-82B1-64B661D9EE4E}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F06032-C907-48EC-82B1-64B661D9EE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881D-1C69-4684-89D9-8F649A084C69}">
  <dimension ref="A2:N34"/>
  <sheetViews>
    <sheetView showGridLines="0" tabSelected="1" workbookViewId="0">
      <selection activeCell="V24" sqref="V24"/>
    </sheetView>
  </sheetViews>
  <sheetFormatPr baseColWidth="10" defaultRowHeight="14.4" x14ac:dyDescent="0.3"/>
  <cols>
    <col min="1" max="1" width="16.6640625" style="1" bestFit="1" customWidth="1"/>
    <col min="2" max="2" width="16.77734375" style="1" customWidth="1"/>
    <col min="3" max="11" width="11.5546875" style="1"/>
    <col min="12" max="12" width="14.77734375" style="1" bestFit="1" customWidth="1"/>
    <col min="13" max="13" width="16.6640625" style="1" bestFit="1" customWidth="1"/>
    <col min="14" max="16384" width="11.5546875" style="1"/>
  </cols>
  <sheetData>
    <row r="2" spans="1:13" x14ac:dyDescent="0.3">
      <c r="A2" s="10" t="s">
        <v>564</v>
      </c>
      <c r="B2" s="11"/>
      <c r="L2" s="10" t="s">
        <v>571</v>
      </c>
      <c r="M2" s="11"/>
    </row>
    <row r="3" spans="1:13" x14ac:dyDescent="0.3">
      <c r="A3" s="4" t="s">
        <v>577</v>
      </c>
      <c r="B3" s="6" t="s">
        <v>562</v>
      </c>
      <c r="L3" s="8" t="s">
        <v>565</v>
      </c>
      <c r="M3" s="8" t="s">
        <v>566</v>
      </c>
    </row>
    <row r="4" spans="1:13" x14ac:dyDescent="0.3">
      <c r="A4" s="5" t="s">
        <v>520</v>
      </c>
      <c r="B4" s="6">
        <v>1817457</v>
      </c>
      <c r="L4" s="5" t="s">
        <v>568</v>
      </c>
      <c r="M4" s="5">
        <f>COUNTIF('Categoria x Puesto'!F:F,"Full time")</f>
        <v>846</v>
      </c>
    </row>
    <row r="5" spans="1:13" x14ac:dyDescent="0.3">
      <c r="A5" s="5" t="s">
        <v>271</v>
      </c>
      <c r="B5" s="6">
        <v>1754188</v>
      </c>
      <c r="L5" s="5" t="s">
        <v>31</v>
      </c>
      <c r="M5" s="5">
        <f>COUNTIF('Categoria x Puesto'!F:F,"Contract")</f>
        <v>39</v>
      </c>
    </row>
    <row r="6" spans="1:13" x14ac:dyDescent="0.3">
      <c r="A6" s="5" t="s">
        <v>443</v>
      </c>
      <c r="B6" s="6">
        <v>1708647</v>
      </c>
      <c r="L6" s="5" t="s">
        <v>569</v>
      </c>
      <c r="M6" s="5">
        <f>COUNTIF('Categoria x Puesto'!F:F,"Part time")</f>
        <v>10</v>
      </c>
    </row>
    <row r="7" spans="1:13" x14ac:dyDescent="0.3">
      <c r="A7" s="5" t="s">
        <v>60</v>
      </c>
      <c r="B7" s="6">
        <v>1668752</v>
      </c>
      <c r="L7" s="5" t="s">
        <v>570</v>
      </c>
      <c r="M7" s="5">
        <f>COUNTIF('Categoria x Puesto'!F:F,"Temporary")</f>
        <v>13</v>
      </c>
    </row>
    <row r="8" spans="1:13" x14ac:dyDescent="0.3">
      <c r="A8" s="5" t="s">
        <v>6</v>
      </c>
      <c r="B8" s="6">
        <v>1616854</v>
      </c>
      <c r="L8" s="5" t="s">
        <v>423</v>
      </c>
      <c r="M8" s="5">
        <f>COUNTIF('Categoria x Puesto'!F:F,"Temps plein")</f>
        <v>4</v>
      </c>
    </row>
    <row r="9" spans="1:13" x14ac:dyDescent="0.3">
      <c r="A9" s="5" t="s">
        <v>165</v>
      </c>
      <c r="B9" s="6">
        <v>1570771</v>
      </c>
      <c r="L9" s="5" t="s">
        <v>567</v>
      </c>
      <c r="M9" s="5">
        <f>COUNTIF('Categoria x Puesto'!F:F,"Other")</f>
        <v>14</v>
      </c>
    </row>
    <row r="22" spans="1:14" x14ac:dyDescent="0.3">
      <c r="M22" s="10" t="s">
        <v>572</v>
      </c>
      <c r="N22" s="11"/>
    </row>
    <row r="23" spans="1:14" x14ac:dyDescent="0.3">
      <c r="M23" s="8" t="s">
        <v>576</v>
      </c>
      <c r="N23" s="8" t="s">
        <v>566</v>
      </c>
    </row>
    <row r="24" spans="1:14" x14ac:dyDescent="0.3">
      <c r="M24" s="5" t="s">
        <v>520</v>
      </c>
      <c r="N24" s="7">
        <f>COUNTIF(job_data_merged_1[[#All],[Category]],"UI/UX")</f>
        <v>191</v>
      </c>
    </row>
    <row r="25" spans="1:14" x14ac:dyDescent="0.3">
      <c r="M25" s="5" t="s">
        <v>271</v>
      </c>
      <c r="N25" s="7">
        <f>COUNTIF(job_data_merged_1[[#All],[Category]],"Data Scientist")</f>
        <v>190</v>
      </c>
    </row>
    <row r="26" spans="1:14" x14ac:dyDescent="0.3">
      <c r="M26" s="5" t="s">
        <v>443</v>
      </c>
      <c r="N26" s="7">
        <f>COUNTIF(job_data_merged_1[[#All],[Category]],"Software Developer")</f>
        <v>189</v>
      </c>
    </row>
    <row r="27" spans="1:14" x14ac:dyDescent="0.3">
      <c r="A27" s="9" t="s">
        <v>563</v>
      </c>
      <c r="B27" s="9"/>
      <c r="C27" s="9"/>
      <c r="D27" s="9"/>
      <c r="M27" s="5" t="s">
        <v>60</v>
      </c>
      <c r="N27" s="7">
        <f>COUNTIF(job_data_merged_1[[#All],[Category]],"HR")</f>
        <v>180</v>
      </c>
    </row>
    <row r="28" spans="1:14" x14ac:dyDescent="0.3">
      <c r="A28" s="8" t="s">
        <v>577</v>
      </c>
      <c r="B28" s="8" t="s">
        <v>573</v>
      </c>
      <c r="C28" s="8" t="s">
        <v>574</v>
      </c>
      <c r="D28" s="8" t="s">
        <v>575</v>
      </c>
      <c r="M28" s="5" t="s">
        <v>6</v>
      </c>
      <c r="N28" s="7">
        <f>COUNTIF(job_data_merged_1[[#All],[Category]],"Business Analyst")</f>
        <v>175</v>
      </c>
    </row>
    <row r="29" spans="1:14" x14ac:dyDescent="0.3">
      <c r="A29" s="5" t="s">
        <v>6</v>
      </c>
      <c r="B29" s="7">
        <f>COUNTIFS('Categoria x Puesto'!B:B,"Business Analyst",'Categoria x Puesto'!C:C,"Remote")</f>
        <v>44</v>
      </c>
      <c r="C29" s="7">
        <f>COUNTIFS(job_data_merged_1[[#All],[Category]],"Business Analyst",job_data_merged_1[[#All],[Workplace]],"On-site")</f>
        <v>90</v>
      </c>
      <c r="D29" s="7">
        <f>COUNTIFS(job_data_merged_1[[#All],[Category]],"Business Analyst",job_data_merged_1[[#All],[Workplace]],"Hybrid")</f>
        <v>38</v>
      </c>
      <c r="M29" s="5" t="s">
        <v>165</v>
      </c>
      <c r="N29" s="7">
        <f>COUNTIF(job_data_merged_1[[#All],[Category]],"Cloud")</f>
        <v>170</v>
      </c>
    </row>
    <row r="30" spans="1:14" x14ac:dyDescent="0.3">
      <c r="A30" s="5" t="s">
        <v>165</v>
      </c>
      <c r="B30" s="7">
        <f>COUNTIFS('Categoria x Puesto'!B:B,"Cloud",'Categoria x Puesto'!C:C,"Remote")</f>
        <v>65</v>
      </c>
      <c r="C30" s="7">
        <f>COUNTIFS(job_data_merged_1[[#All],[Category]],"Cloud",job_data_merged_1[[#All],[Workplace]],"On-site")</f>
        <v>62</v>
      </c>
      <c r="D30" s="7">
        <f>COUNTIFS(job_data_merged_1[[#All],[Category]],"Cloud",job_data_merged_1[[#All],[Workplace]],"Hybrid")</f>
        <v>33</v>
      </c>
    </row>
    <row r="31" spans="1:14" x14ac:dyDescent="0.3">
      <c r="A31" s="5" t="s">
        <v>271</v>
      </c>
      <c r="B31" s="7">
        <f>COUNTIFS('Categoria x Puesto'!B:B,"Data Scientist",'Categoria x Puesto'!C:C,"Remote")</f>
        <v>71</v>
      </c>
      <c r="C31" s="7">
        <f>COUNTIFS(job_data_merged_1[[#All],[Category]],"Data Scientist",job_data_merged_1[[#All],[Workplace]],"On-site")</f>
        <v>83</v>
      </c>
      <c r="D31" s="7">
        <f>COUNTIFS(job_data_merged_1[[#All],[Category]],"Data Scientist",job_data_merged_1[[#All],[Workplace]],"Hybrid")</f>
        <v>24</v>
      </c>
    </row>
    <row r="32" spans="1:14" x14ac:dyDescent="0.3">
      <c r="A32" s="5" t="s">
        <v>60</v>
      </c>
      <c r="B32" s="7">
        <f>COUNTIFS('Categoria x Puesto'!B:B,"HR",'Categoria x Puesto'!C:C,"Remote")</f>
        <v>56</v>
      </c>
      <c r="C32" s="7">
        <f>COUNTIFS(job_data_merged_1[[#All],[Category]],"HR",job_data_merged_1[[#All],[Workplace]],"On-site")</f>
        <v>96</v>
      </c>
      <c r="D32" s="7">
        <f>COUNTIFS(job_data_merged_1[[#All],[Category]],"HR",job_data_merged_1[[#All],[Workplace]],"Hybrid")</f>
        <v>20</v>
      </c>
    </row>
    <row r="33" spans="1:4" x14ac:dyDescent="0.3">
      <c r="A33" s="5" t="s">
        <v>443</v>
      </c>
      <c r="B33" s="7">
        <f>COUNTIFS('Categoria x Puesto'!B:B,"Software Developer",'Categoria x Puesto'!C:C,"Remote")</f>
        <v>70</v>
      </c>
      <c r="C33" s="7">
        <f>COUNTIFS(job_data_merged_1[[#All],[Category]],"Software Developer",job_data_merged_1[[#All],[Workplace]],"On-site")</f>
        <v>80</v>
      </c>
      <c r="D33" s="7">
        <f>COUNTIFS(job_data_merged_1[[#All],[Category]],"Software Developer",job_data_merged_1[[#All],[Workplace]],"Hybrid")</f>
        <v>21</v>
      </c>
    </row>
    <row r="34" spans="1:4" x14ac:dyDescent="0.3">
      <c r="A34" s="5" t="s">
        <v>520</v>
      </c>
      <c r="B34" s="7">
        <f>COUNTIFS('Categoria x Puesto'!B:B,"UI/UX",'Categoria x Puesto'!C:C,"Remote")</f>
        <v>107</v>
      </c>
      <c r="C34" s="7">
        <f>COUNTIFS(job_data_merged_1[[#All],[Category]],"UI/UX",job_data_merged_1[[#All],[Workplace]],"On-site")</f>
        <v>50</v>
      </c>
      <c r="D34" s="7">
        <f>COUNTIFS(job_data_merged_1[[#All],[Category]],"UI/UX",job_data_merged_1[[#All],[Workplace]],"Hybrid")</f>
        <v>25</v>
      </c>
    </row>
  </sheetData>
  <mergeCells count="4">
    <mergeCell ref="A27:D27"/>
    <mergeCell ref="L2:M2"/>
    <mergeCell ref="A2:B2"/>
    <mergeCell ref="M22:N22"/>
  </mergeCell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A2D06-1000-411C-96E3-24E13C7D22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Categoria x Puesto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 Araujo</dc:creator>
  <cp:lastModifiedBy>Julio  Araujo</cp:lastModifiedBy>
  <dcterms:created xsi:type="dcterms:W3CDTF">2026-03-14T17:16:21Z</dcterms:created>
  <dcterms:modified xsi:type="dcterms:W3CDTF">2026-07-06T00:18:36Z</dcterms:modified>
</cp:coreProperties>
</file>